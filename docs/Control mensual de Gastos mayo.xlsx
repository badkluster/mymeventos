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anda\Documents\Eventos Nati\Gastos mensuales\"/>
    </mc:Choice>
  </mc:AlternateContent>
  <bookViews>
    <workbookView xWindow="-120" yWindow="-120" windowWidth="20736" windowHeight="11040" activeTab="5"/>
  </bookViews>
  <sheets>
    <sheet name="Salado" sheetId="1" r:id="rId1"/>
    <sheet name="Bebidas" sheetId="3" r:id="rId2"/>
    <sheet name="Control de Gastos I" sheetId="5" r:id="rId3"/>
    <sheet name="Control de Gastos II" sheetId="6" r:id="rId4"/>
    <sheet name="Control de Gastos III" sheetId="10" r:id="rId5"/>
    <sheet name="Relación de Gastos mayo" sheetId="9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" i="3" l="1"/>
  <c r="R10" i="3" s="1"/>
  <c r="M11" i="3"/>
  <c r="R11" i="3" s="1"/>
  <c r="M12" i="3"/>
  <c r="R12" i="3" s="1"/>
  <c r="M13" i="3"/>
  <c r="R13" i="3" s="1"/>
  <c r="M14" i="3"/>
  <c r="R14" i="3" s="1"/>
  <c r="M15" i="3"/>
  <c r="R15" i="3" s="1"/>
  <c r="M16" i="3"/>
  <c r="R16" i="3" s="1"/>
  <c r="M17" i="3"/>
  <c r="R17" i="3" s="1"/>
  <c r="M18" i="3"/>
  <c r="R18" i="3" s="1"/>
  <c r="M19" i="3"/>
  <c r="R19" i="3" s="1"/>
  <c r="M20" i="3"/>
  <c r="R20" i="3" s="1"/>
  <c r="M21" i="3"/>
  <c r="R21" i="3" s="1"/>
  <c r="M22" i="3"/>
  <c r="R22" i="3" s="1"/>
  <c r="M23" i="3"/>
  <c r="R23" i="3" s="1"/>
  <c r="M24" i="3"/>
  <c r="R24" i="3" s="1"/>
  <c r="M25" i="3"/>
  <c r="R25" i="3" s="1"/>
  <c r="M26" i="3"/>
  <c r="R26" i="3" s="1"/>
  <c r="M27" i="3"/>
  <c r="R27" i="3" s="1"/>
  <c r="M28" i="3"/>
  <c r="R28" i="3" s="1"/>
  <c r="M9" i="3"/>
  <c r="R9" i="3" s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6" i="1"/>
  <c r="F11" i="1" l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6" i="1"/>
  <c r="D65" i="1" l="1"/>
  <c r="D54" i="1" l="1"/>
  <c r="D7" i="1"/>
  <c r="D31" i="1"/>
  <c r="D13" i="1"/>
  <c r="D8" i="1"/>
  <c r="D9" i="1"/>
  <c r="D10" i="1"/>
  <c r="D12" i="1"/>
  <c r="D14" i="1"/>
  <c r="D15" i="1"/>
  <c r="D16" i="1"/>
  <c r="D17" i="1"/>
  <c r="D18" i="1"/>
  <c r="D21" i="1"/>
  <c r="D23" i="1"/>
  <c r="D24" i="1"/>
  <c r="D25" i="1"/>
  <c r="D29" i="1"/>
  <c r="D30" i="1"/>
  <c r="D32" i="1"/>
  <c r="D33" i="1"/>
  <c r="D34" i="1"/>
  <c r="D36" i="1"/>
  <c r="D37" i="1"/>
  <c r="D38" i="1"/>
  <c r="D39" i="1"/>
  <c r="D40" i="1"/>
  <c r="D41" i="1"/>
  <c r="D43" i="1"/>
  <c r="D44" i="1"/>
  <c r="D45" i="1"/>
  <c r="D46" i="1"/>
  <c r="D47" i="1"/>
  <c r="D49" i="1"/>
  <c r="D50" i="1"/>
  <c r="D52" i="1"/>
  <c r="D53" i="1"/>
  <c r="D55" i="1"/>
  <c r="D56" i="1"/>
  <c r="R56" i="1" s="1"/>
  <c r="D57" i="1"/>
  <c r="R57" i="1" s="1"/>
  <c r="D58" i="1"/>
  <c r="D59" i="1"/>
  <c r="D60" i="1"/>
  <c r="D61" i="1"/>
  <c r="D62" i="1"/>
  <c r="D63" i="1"/>
  <c r="D64" i="1"/>
  <c r="D66" i="1"/>
  <c r="D67" i="1"/>
  <c r="D68" i="1"/>
  <c r="D69" i="1"/>
  <c r="D77" i="1"/>
  <c r="D6" i="1"/>
  <c r="B8" i="5" l="1"/>
</calcChain>
</file>

<file path=xl/sharedStrings.xml><?xml version="1.0" encoding="utf-8"?>
<sst xmlns="http://schemas.openxmlformats.org/spreadsheetml/2006/main" count="482" uniqueCount="319">
  <si>
    <t>MENÚ</t>
  </si>
  <si>
    <t>TOTAL</t>
  </si>
  <si>
    <t>TOTAL FINAL</t>
  </si>
  <si>
    <t>BANDEJAS DE FIAMBRES Y Q</t>
  </si>
  <si>
    <t>PANCITOS SABORIZADOS</t>
  </si>
  <si>
    <t>GRISINES</t>
  </si>
  <si>
    <t>EMPANADAS DE CARNE</t>
  </si>
  <si>
    <t>ENSALADA RUSA</t>
  </si>
  <si>
    <t>PAPAS FRITAS</t>
  </si>
  <si>
    <t>TRIPLES DE J/Q</t>
  </si>
  <si>
    <t>TOSTADOS CON J/Q</t>
  </si>
  <si>
    <t>SANDWICHES DE BONDIOLA</t>
  </si>
  <si>
    <t>MEDIALUNAS DULCES S/R</t>
  </si>
  <si>
    <t>FOSFORITOS DE J/Q</t>
  </si>
  <si>
    <t>VARIEDAD DE CANAPÉ</t>
  </si>
  <si>
    <t>PECHUGA RELLENA DE J/Q</t>
  </si>
  <si>
    <t>PAPAS RÚSTICAS</t>
  </si>
  <si>
    <t>SALSA VERDEO</t>
  </si>
  <si>
    <t>PINCHES CAPRESE</t>
  </si>
  <si>
    <t>PINCHES DE MOZZARELLA</t>
  </si>
  <si>
    <t>TACOS DE POLLO Y CARNE</t>
  </si>
  <si>
    <t>POLLO REBOZADO</t>
  </si>
  <si>
    <t>CHIPS DE J/Q</t>
  </si>
  <si>
    <t>PERNIL DE CERDO</t>
  </si>
  <si>
    <t>PANCITOS PARA EL PERNIL</t>
  </si>
  <si>
    <t xml:space="preserve">SALSAS: </t>
  </si>
  <si>
    <t>OBSERVACIONES</t>
  </si>
  <si>
    <t>AGUA SABORIZADA</t>
  </si>
  <si>
    <t>CHAMPAGNE</t>
  </si>
  <si>
    <t>VINO TINTO CALLIA</t>
  </si>
  <si>
    <t>PANADERÍA</t>
  </si>
  <si>
    <t>PRECIO</t>
  </si>
  <si>
    <t>BEBIDAS</t>
  </si>
  <si>
    <t>ABEJORRO</t>
  </si>
  <si>
    <t>VERDULERÍA</t>
  </si>
  <si>
    <t>INSUMOS PANADERILES</t>
  </si>
  <si>
    <t>STAFF</t>
  </si>
  <si>
    <t>LIMPIEZA</t>
  </si>
  <si>
    <t>PAGO</t>
  </si>
  <si>
    <t>MANTELERÍA</t>
  </si>
  <si>
    <t>CARNICERÍA</t>
  </si>
  <si>
    <t>ROBLES</t>
  </si>
  <si>
    <t>IMPLEMENTOS DE OFICINA</t>
  </si>
  <si>
    <t>2 Marcadores de Pizarra</t>
  </si>
  <si>
    <t>4 Carpetas archivador</t>
  </si>
  <si>
    <t>IVA 21%</t>
  </si>
  <si>
    <t>PROVEEDOR</t>
  </si>
  <si>
    <t>GASTO INICIAL</t>
  </si>
  <si>
    <t>GASTO FINAL</t>
  </si>
  <si>
    <t>DISTRIBUIDORA JOSÉ</t>
  </si>
  <si>
    <t>MIGAS</t>
  </si>
  <si>
    <t>COMPRA DE AGUA</t>
  </si>
  <si>
    <t>HELADOS</t>
  </si>
  <si>
    <t>GASTOS OFICINA</t>
  </si>
  <si>
    <t>IMPRESIONES DE CARPETAS</t>
  </si>
  <si>
    <t>AMBIENTACIÓN</t>
  </si>
  <si>
    <t>GASTO ADICIONAL</t>
  </si>
  <si>
    <t>BRUSQUETA VARIADAS</t>
  </si>
  <si>
    <t>CANASTITAS DE VERDURAS</t>
  </si>
  <si>
    <t>SALSA CRIOLLA</t>
  </si>
  <si>
    <t>SANDWICHES DE VITEL TONÉ</t>
  </si>
  <si>
    <t>PALETA DE CERDO</t>
  </si>
  <si>
    <t>MILANESA DE POLLO</t>
  </si>
  <si>
    <t>MEDIALUNAS SALADAS CON J/Q</t>
  </si>
  <si>
    <t>PANES DE CAMPO</t>
  </si>
  <si>
    <t>PAN COMÚN</t>
  </si>
  <si>
    <t>PORCIÓN DE LOMO</t>
  </si>
  <si>
    <t>FIGACITAS DE J/Q</t>
  </si>
  <si>
    <t>SANDWICHES DE LENGUA</t>
  </si>
  <si>
    <t>PIZZAS VARIADAS</t>
  </si>
  <si>
    <t>PORCIÓN DE VACÍO</t>
  </si>
  <si>
    <t>PATA MUSLO</t>
  </si>
  <si>
    <t>SACRAMENTOS J/Q</t>
  </si>
  <si>
    <t>SIN BEBIDAS</t>
  </si>
  <si>
    <t>CAMPARI</t>
  </si>
  <si>
    <t>TÓNICA</t>
  </si>
  <si>
    <t>VODKA DE SABORES</t>
  </si>
  <si>
    <t xml:space="preserve"> IMPUESTO 3%</t>
  </si>
  <si>
    <t>50 Separadores</t>
  </si>
  <si>
    <t>1 Abrochadora</t>
  </si>
  <si>
    <t>1 Perforadora</t>
  </si>
  <si>
    <t>GASTOS VARIOS</t>
  </si>
  <si>
    <t>DJ Y PROYECTOR</t>
  </si>
  <si>
    <t>WANDA</t>
  </si>
  <si>
    <t>ALU</t>
  </si>
  <si>
    <t>PATRI</t>
  </si>
  <si>
    <t>CAFÉ</t>
  </si>
  <si>
    <t>MINI TRIPLES DE J/Q</t>
  </si>
  <si>
    <t>ESCABECHE DE POLLO</t>
  </si>
  <si>
    <t>ARROLLADITOS DE J/Q</t>
  </si>
  <si>
    <t>SALCHICHAS ENVUELTAS</t>
  </si>
  <si>
    <t>MINI PIZZETAS MOZZARELLA</t>
  </si>
  <si>
    <t>MOZZARELITAS REBOZADAS</t>
  </si>
  <si>
    <t>FIGACITAS DE TERNERA</t>
  </si>
  <si>
    <t>MINI TOSTADOS DE J/Q</t>
  </si>
  <si>
    <t>HAMBURGUESAS</t>
  </si>
  <si>
    <t>PANCHOS</t>
  </si>
  <si>
    <t>PIZZETAS VARIADAS</t>
  </si>
  <si>
    <t>PORCIÓN DE BONDIOLA</t>
  </si>
  <si>
    <t>NACHOS CON GUACAMOLE</t>
  </si>
  <si>
    <t>CIRUELAS ENVUELTAS</t>
  </si>
  <si>
    <t>MUFFINS DE OMELETTE</t>
  </si>
  <si>
    <t>FERNET CON COCA</t>
  </si>
  <si>
    <t>GANCIA CON SPRITE</t>
  </si>
  <si>
    <t>HIELO</t>
  </si>
  <si>
    <t>JUGO DE NARANJA</t>
  </si>
  <si>
    <t xml:space="preserve">GIN </t>
  </si>
  <si>
    <t>RON PARA EL DAIKIRI</t>
  </si>
  <si>
    <t>AZÚCAR</t>
  </si>
  <si>
    <t>PULPA DE FRUTILLA</t>
  </si>
  <si>
    <t>PULPA DE DURAZNO</t>
  </si>
  <si>
    <t>VINO BLANCO</t>
  </si>
  <si>
    <t>COCA COLA 2.25</t>
  </si>
  <si>
    <t>AGUA MINERAL 5LTS.</t>
  </si>
  <si>
    <t>CERVEZA 475ML</t>
  </si>
  <si>
    <t>SPRITE</t>
  </si>
  <si>
    <t>EMPANADAS DE COPETÍN V.</t>
  </si>
  <si>
    <t>MINI HAMBURGUESAS CON CHED</t>
  </si>
  <si>
    <t>BROCHET DE BONDIOLA Y V.</t>
  </si>
  <si>
    <t>BROCHET DE POLLO Y V.</t>
  </si>
  <si>
    <t>CAZUELAS DE ÑOQUIS CON S F.</t>
  </si>
  <si>
    <t>POLLO ALVERDEO CON P/R</t>
  </si>
  <si>
    <t>ALBÓNDIGAS CON SALSA F</t>
  </si>
  <si>
    <t>RAVIOLES AL VERDEO</t>
  </si>
  <si>
    <t>BROCHET DE CARNE Y V.</t>
  </si>
  <si>
    <t>SALCHICHAS C BARBACOA Y C.</t>
  </si>
  <si>
    <t xml:space="preserve">PORCIÓN DE PAPAS </t>
  </si>
  <si>
    <r>
      <t xml:space="preserve"> Vodka sabores </t>
    </r>
    <r>
      <rPr>
        <b/>
        <sz val="11"/>
        <color theme="1"/>
        <rFont val="Calibri"/>
        <family val="2"/>
        <scheme val="minor"/>
      </rPr>
      <t>$7.300</t>
    </r>
  </si>
  <si>
    <r>
      <t xml:space="preserve">1 Paq. Provenzal </t>
    </r>
    <r>
      <rPr>
        <b/>
        <sz val="11"/>
        <color theme="1"/>
        <rFont val="Calibri"/>
        <family val="2"/>
        <scheme val="minor"/>
      </rPr>
      <t>$4.225</t>
    </r>
  </si>
  <si>
    <r>
      <t xml:space="preserve">1 Paq. Ají molido </t>
    </r>
    <r>
      <rPr>
        <b/>
        <sz val="11"/>
        <color theme="1"/>
        <rFont val="Calibri"/>
        <family val="2"/>
        <scheme val="minor"/>
      </rPr>
      <t>$3.931</t>
    </r>
  </si>
  <si>
    <r>
      <t xml:space="preserve">1 Mostaza Benidorm 3 kl. </t>
    </r>
    <r>
      <rPr>
        <b/>
        <sz val="11"/>
        <color theme="1"/>
        <rFont val="Calibri"/>
        <family val="2"/>
        <scheme val="minor"/>
      </rPr>
      <t>$4.837</t>
    </r>
  </si>
  <si>
    <r>
      <t xml:space="preserve">1 Paq. Bandejas para Pizzas </t>
    </r>
    <r>
      <rPr>
        <b/>
        <sz val="11"/>
        <color theme="1"/>
        <rFont val="Calibri"/>
        <family val="2"/>
        <scheme val="minor"/>
      </rPr>
      <t>$15.370</t>
    </r>
  </si>
  <si>
    <r>
      <t xml:space="preserve">5 Lts. De Vinagre alcohol </t>
    </r>
    <r>
      <rPr>
        <b/>
        <sz val="11"/>
        <color theme="1"/>
        <rFont val="Calibri"/>
        <family val="2"/>
        <scheme val="minor"/>
      </rPr>
      <t>$3.520</t>
    </r>
  </si>
  <si>
    <r>
      <t xml:space="preserve">1 Ají molido </t>
    </r>
    <r>
      <rPr>
        <b/>
        <sz val="11"/>
        <color theme="1"/>
        <rFont val="Calibri"/>
        <family val="2"/>
        <scheme val="minor"/>
      </rPr>
      <t>$3.931</t>
    </r>
  </si>
  <si>
    <r>
      <t xml:space="preserve">1 Bandeja para pizzas 628x100 </t>
    </r>
    <r>
      <rPr>
        <b/>
        <sz val="11"/>
        <color theme="1"/>
        <rFont val="Calibri"/>
        <family val="2"/>
        <scheme val="minor"/>
      </rPr>
      <t>$15.368</t>
    </r>
  </si>
  <si>
    <r>
      <t xml:space="preserve">1 Ketchup </t>
    </r>
    <r>
      <rPr>
        <b/>
        <sz val="11"/>
        <color theme="1"/>
        <rFont val="Calibri"/>
        <family val="2"/>
        <scheme val="minor"/>
      </rPr>
      <t>$9.694</t>
    </r>
    <r>
      <rPr>
        <sz val="11"/>
        <color theme="1"/>
        <rFont val="Calibri"/>
        <family val="2"/>
        <scheme val="minor"/>
      </rPr>
      <t xml:space="preserve"> x 3 kl.</t>
    </r>
  </si>
  <si>
    <r>
      <t xml:space="preserve">5 Ajo </t>
    </r>
    <r>
      <rPr>
        <b/>
        <sz val="11"/>
        <color theme="1"/>
        <rFont val="Calibri"/>
        <family val="2"/>
        <scheme val="minor"/>
      </rPr>
      <t>$1.000</t>
    </r>
  </si>
  <si>
    <r>
      <t xml:space="preserve">2 kl Perejil </t>
    </r>
    <r>
      <rPr>
        <b/>
        <sz val="11"/>
        <color theme="1"/>
        <rFont val="Calibri"/>
        <family val="2"/>
        <scheme val="minor"/>
      </rPr>
      <t>$2.500</t>
    </r>
  </si>
  <si>
    <t>MIGAS $12.500</t>
  </si>
  <si>
    <r>
      <t xml:space="preserve">1 kl. Limón </t>
    </r>
    <r>
      <rPr>
        <b/>
        <sz val="11"/>
        <color theme="1"/>
        <rFont val="Calibri"/>
        <family val="2"/>
        <scheme val="minor"/>
      </rPr>
      <t>$2.800</t>
    </r>
  </si>
  <si>
    <r>
      <t xml:space="preserve">3 Zapallo </t>
    </r>
    <r>
      <rPr>
        <b/>
        <sz val="11"/>
        <color theme="1"/>
        <rFont val="Calibri"/>
        <family val="2"/>
        <scheme val="minor"/>
      </rPr>
      <t>$3.000</t>
    </r>
  </si>
  <si>
    <r>
      <t xml:space="preserve">4kl. Manzanas </t>
    </r>
    <r>
      <rPr>
        <b/>
        <sz val="11"/>
        <color theme="1"/>
        <rFont val="Calibri"/>
        <family val="2"/>
        <scheme val="minor"/>
      </rPr>
      <t>$3.000</t>
    </r>
  </si>
  <si>
    <r>
      <t xml:space="preserve">1kl. Zapallito Verde </t>
    </r>
    <r>
      <rPr>
        <b/>
        <sz val="11"/>
        <color theme="1"/>
        <rFont val="Calibri"/>
        <family val="2"/>
        <scheme val="minor"/>
      </rPr>
      <t>$3.000</t>
    </r>
  </si>
  <si>
    <r>
      <t xml:space="preserve">1 Caja de Escabadientes </t>
    </r>
    <r>
      <rPr>
        <b/>
        <sz val="11"/>
        <color theme="1"/>
        <rFont val="Calibri"/>
        <family val="2"/>
        <scheme val="minor"/>
      </rPr>
      <t>$9.500</t>
    </r>
  </si>
  <si>
    <t>GASTOS VIAJES</t>
  </si>
  <si>
    <t>2 Resmas de Papel</t>
  </si>
  <si>
    <t>4 Marcadores permanentes</t>
  </si>
  <si>
    <t>2 Cintas de embalar</t>
  </si>
  <si>
    <t>2 Encendedores</t>
  </si>
  <si>
    <t>BIANCA 02-05</t>
  </si>
  <si>
    <t>ANA 02-05</t>
  </si>
  <si>
    <t>EMILY 09-05</t>
  </si>
  <si>
    <t>LAURA 16-05</t>
  </si>
  <si>
    <t>MARTA 23-05</t>
  </si>
  <si>
    <t>KIARA 23-05</t>
  </si>
  <si>
    <t>PABLO 23-05</t>
  </si>
  <si>
    <t>CAMI 29-05</t>
  </si>
  <si>
    <t>GONZA 29-05</t>
  </si>
  <si>
    <t>ZOE 30-05</t>
  </si>
  <si>
    <t>SUSHI VARIADOS</t>
  </si>
  <si>
    <t>SÁNDWICHES CHORICITO P</t>
  </si>
  <si>
    <t>SACRAMENTOS CAPRESES</t>
  </si>
  <si>
    <t>SÁNDWICHES DE MATAMBRE</t>
  </si>
  <si>
    <t>SÁNDWICHES DE POLLO</t>
  </si>
  <si>
    <t>ANA 22-05</t>
  </si>
  <si>
    <t xml:space="preserve">                                                               CONTROL DE BEBIDAS A COMPRAR MES MAYO</t>
  </si>
  <si>
    <t>CONTROL DE PRODUCCIÓN SALADO MES MAYO</t>
  </si>
  <si>
    <t>Pedid</t>
  </si>
  <si>
    <t>PINCHES/POLLO/PANCETA/B</t>
  </si>
  <si>
    <t>MIRTA 30-05</t>
  </si>
  <si>
    <t>ST</t>
  </si>
  <si>
    <t>TORTA</t>
  </si>
  <si>
    <t>SH</t>
  </si>
  <si>
    <t>C/CSC</t>
  </si>
  <si>
    <t>CH</t>
  </si>
  <si>
    <t>S/C</t>
  </si>
  <si>
    <t>PED</t>
  </si>
  <si>
    <r>
      <t xml:space="preserve">350 Fosforitos </t>
    </r>
    <r>
      <rPr>
        <b/>
        <sz val="11"/>
        <color theme="1"/>
        <rFont val="Calibri"/>
        <family val="2"/>
        <scheme val="minor"/>
      </rPr>
      <t>$469</t>
    </r>
  </si>
  <si>
    <r>
      <t xml:space="preserve">10 docenas de Medialunas Dulces </t>
    </r>
    <r>
      <rPr>
        <b/>
        <sz val="11"/>
        <color theme="1"/>
        <rFont val="Calibri"/>
        <family val="2"/>
        <scheme val="minor"/>
      </rPr>
      <t>$6.600</t>
    </r>
  </si>
  <si>
    <r>
      <t xml:space="preserve">12 Docenas de Sacramentos </t>
    </r>
    <r>
      <rPr>
        <b/>
        <sz val="11"/>
        <color theme="1"/>
        <rFont val="Calibri"/>
        <family val="2"/>
        <scheme val="minor"/>
      </rPr>
      <t>$4.000</t>
    </r>
  </si>
  <si>
    <r>
      <t xml:space="preserve">17 kl. De pan común </t>
    </r>
    <r>
      <rPr>
        <b/>
        <sz val="11"/>
        <color theme="1"/>
        <rFont val="Calibri"/>
        <family val="2"/>
        <scheme val="minor"/>
      </rPr>
      <t>$1.950</t>
    </r>
  </si>
  <si>
    <r>
      <t xml:space="preserve">10 Barra Paletas  cerdo Luvianka </t>
    </r>
    <r>
      <rPr>
        <b/>
        <sz val="11"/>
        <color theme="1"/>
        <rFont val="Calibri"/>
        <family val="2"/>
        <scheme val="minor"/>
      </rPr>
      <t>$44.547</t>
    </r>
  </si>
  <si>
    <r>
      <t xml:space="preserve">10 Barra queso  máquina Dambo </t>
    </r>
    <r>
      <rPr>
        <b/>
        <sz val="11"/>
        <color theme="1"/>
        <rFont val="Calibri"/>
        <family val="2"/>
        <scheme val="minor"/>
      </rPr>
      <t>$43.800</t>
    </r>
  </si>
  <si>
    <r>
      <t xml:space="preserve">4 Barra Jamón Crudo Los montes </t>
    </r>
    <r>
      <rPr>
        <b/>
        <sz val="11"/>
        <color theme="1"/>
        <rFont val="Calibri"/>
        <family val="2"/>
        <scheme val="minor"/>
      </rPr>
      <t>$72.128</t>
    </r>
  </si>
  <si>
    <r>
      <t xml:space="preserve">3 Salame </t>
    </r>
    <r>
      <rPr>
        <b/>
        <sz val="11"/>
        <color theme="1"/>
        <rFont val="Calibri"/>
        <family val="2"/>
        <scheme val="minor"/>
      </rPr>
      <t>$35.627</t>
    </r>
  </si>
  <si>
    <r>
      <t xml:space="preserve">3 Cajas de Servilletas </t>
    </r>
    <r>
      <rPr>
        <b/>
        <sz val="11"/>
        <color theme="1"/>
        <rFont val="Calibri"/>
        <family val="2"/>
        <scheme val="minor"/>
      </rPr>
      <t>$5.828</t>
    </r>
  </si>
  <si>
    <r>
      <t xml:space="preserve">2 Roquefort </t>
    </r>
    <r>
      <rPr>
        <b/>
        <sz val="11"/>
        <color theme="1"/>
        <rFont val="Calibri"/>
        <family val="2"/>
        <scheme val="minor"/>
      </rPr>
      <t>$28.462</t>
    </r>
  </si>
  <si>
    <r>
      <t xml:space="preserve">1 Baldes de Aceituna </t>
    </r>
    <r>
      <rPr>
        <b/>
        <sz val="11"/>
        <color theme="1"/>
        <rFont val="Calibri"/>
        <family val="2"/>
        <scheme val="minor"/>
      </rPr>
      <t>$25.870</t>
    </r>
  </si>
  <si>
    <r>
      <t>2 Paq. Bolsa de arranque 45x60</t>
    </r>
    <r>
      <rPr>
        <b/>
        <sz val="11"/>
        <color theme="1"/>
        <rFont val="Calibri"/>
        <family val="2"/>
        <scheme val="minor"/>
      </rPr>
      <t xml:space="preserve"> $8.986</t>
    </r>
  </si>
  <si>
    <r>
      <t xml:space="preserve">3 Paq. Bolsa camiseta 45x60 </t>
    </r>
    <r>
      <rPr>
        <b/>
        <sz val="11"/>
        <color theme="1"/>
        <rFont val="Calibri"/>
        <family val="2"/>
        <scheme val="minor"/>
      </rPr>
      <t>$4.077</t>
    </r>
  </si>
  <si>
    <r>
      <t xml:space="preserve">1 Rollo de Film repuesto </t>
    </r>
    <r>
      <rPr>
        <b/>
        <sz val="11"/>
        <color theme="1"/>
        <rFont val="Calibri"/>
        <family val="2"/>
        <scheme val="minor"/>
      </rPr>
      <t>$13.650</t>
    </r>
  </si>
  <si>
    <r>
      <t xml:space="preserve">10 Mayonesas grandes </t>
    </r>
    <r>
      <rPr>
        <b/>
        <sz val="11"/>
        <color theme="1"/>
        <rFont val="Calibri"/>
        <family val="2"/>
        <scheme val="minor"/>
      </rPr>
      <t>$6.090</t>
    </r>
  </si>
  <si>
    <r>
      <t xml:space="preserve">6 Cajas Dulce Pastelería </t>
    </r>
    <r>
      <rPr>
        <b/>
        <sz val="11"/>
        <color theme="1"/>
        <rFont val="Calibri"/>
        <family val="2"/>
        <scheme val="minor"/>
      </rPr>
      <t>$40.616</t>
    </r>
  </si>
  <si>
    <r>
      <t xml:space="preserve">3 Paq. Bolsa camiseta 20x30 </t>
    </r>
    <r>
      <rPr>
        <b/>
        <sz val="11"/>
        <color theme="1"/>
        <rFont val="Calibri"/>
        <family val="2"/>
        <scheme val="minor"/>
      </rPr>
      <t>$1.300</t>
    </r>
  </si>
  <si>
    <r>
      <t xml:space="preserve">2 Rollo Blando Precorte </t>
    </r>
    <r>
      <rPr>
        <b/>
        <sz val="11"/>
        <color theme="1"/>
        <rFont val="Calibri"/>
        <family val="2"/>
        <scheme val="minor"/>
      </rPr>
      <t>$14.500</t>
    </r>
  </si>
  <si>
    <r>
      <t xml:space="preserve">1 Paq. Bandeja de Bisagras </t>
    </r>
    <r>
      <rPr>
        <b/>
        <sz val="11"/>
        <color theme="1"/>
        <rFont val="Calibri"/>
        <family val="2"/>
        <scheme val="minor"/>
      </rPr>
      <t>$69.567</t>
    </r>
  </si>
  <si>
    <r>
      <t xml:space="preserve">5 Paq. Folex </t>
    </r>
    <r>
      <rPr>
        <b/>
        <sz val="11"/>
        <color theme="1"/>
        <rFont val="Calibri"/>
        <family val="2"/>
        <scheme val="minor"/>
      </rPr>
      <t>$9.720</t>
    </r>
  </si>
  <si>
    <r>
      <t xml:space="preserve">1 Paq. Sal Fina </t>
    </r>
    <r>
      <rPr>
        <b/>
        <sz val="11"/>
        <color theme="1"/>
        <rFont val="Calibri"/>
        <family val="2"/>
        <scheme val="minor"/>
      </rPr>
      <t>$9.538</t>
    </r>
  </si>
  <si>
    <r>
      <t xml:space="preserve">Aceites de 5 litros </t>
    </r>
    <r>
      <rPr>
        <b/>
        <sz val="11"/>
        <color theme="1"/>
        <rFont val="Calibri"/>
        <family val="2"/>
        <scheme val="minor"/>
      </rPr>
      <t>$16.079</t>
    </r>
  </si>
  <si>
    <r>
      <t xml:space="preserve">1 Paq. De Orégano </t>
    </r>
    <r>
      <rPr>
        <b/>
        <sz val="11"/>
        <color theme="1"/>
        <rFont val="Calibri"/>
        <family val="2"/>
        <scheme val="minor"/>
      </rPr>
      <t>$3.931</t>
    </r>
  </si>
  <si>
    <r>
      <t xml:space="preserve">1 Pan Rallado </t>
    </r>
    <r>
      <rPr>
        <b/>
        <sz val="11"/>
        <color theme="1"/>
        <rFont val="Calibri"/>
        <family val="2"/>
        <scheme val="minor"/>
      </rPr>
      <t>$12.343</t>
    </r>
  </si>
  <si>
    <r>
      <t xml:space="preserve">2 Barra de Mozzarella 10 kl. </t>
    </r>
    <r>
      <rPr>
        <b/>
        <sz val="11"/>
        <color theme="1"/>
        <rFont val="Calibri"/>
        <family val="2"/>
        <scheme val="minor"/>
      </rPr>
      <t>$82.500</t>
    </r>
  </si>
  <si>
    <r>
      <t xml:space="preserve">1 Paq. Papel aluminio </t>
    </r>
    <r>
      <rPr>
        <b/>
        <sz val="11"/>
        <color theme="1"/>
        <rFont val="Calibri"/>
        <family val="2"/>
        <scheme val="minor"/>
      </rPr>
      <t>$9.847</t>
    </r>
  </si>
  <si>
    <r>
      <t xml:space="preserve">5 Paq. Brochet </t>
    </r>
    <r>
      <rPr>
        <b/>
        <sz val="11"/>
        <color theme="1"/>
        <rFont val="Calibri"/>
        <family val="2"/>
        <scheme val="minor"/>
      </rPr>
      <t>$3.300</t>
    </r>
  </si>
  <si>
    <r>
      <t xml:space="preserve">3 Paq. De guantes </t>
    </r>
    <r>
      <rPr>
        <b/>
        <sz val="11"/>
        <color theme="1"/>
        <rFont val="Calibri"/>
        <family val="2"/>
        <scheme val="minor"/>
      </rPr>
      <t>$6.204</t>
    </r>
  </si>
  <si>
    <r>
      <t xml:space="preserve">2 Queso cheddar líquido </t>
    </r>
    <r>
      <rPr>
        <b/>
        <sz val="11"/>
        <color theme="1"/>
        <rFont val="Calibri"/>
        <family val="2"/>
        <scheme val="minor"/>
      </rPr>
      <t>$27.690</t>
    </r>
  </si>
  <si>
    <r>
      <t xml:space="preserve">13 Tapas de empanadas grande </t>
    </r>
    <r>
      <rPr>
        <b/>
        <sz val="11"/>
        <color theme="1"/>
        <rFont val="Calibri"/>
        <family val="2"/>
        <scheme val="minor"/>
      </rPr>
      <t>$7.057</t>
    </r>
  </si>
  <si>
    <r>
      <t xml:space="preserve">0 Cerveza Stella 472ml. </t>
    </r>
    <r>
      <rPr>
        <b/>
        <sz val="11"/>
        <color theme="1"/>
        <rFont val="Calibri"/>
        <family val="2"/>
        <scheme val="minor"/>
      </rPr>
      <t>$2.445</t>
    </r>
  </si>
  <si>
    <r>
      <t xml:space="preserve">0 Cerveza Andes 473 ml. </t>
    </r>
    <r>
      <rPr>
        <b/>
        <sz val="10"/>
        <color theme="1"/>
        <rFont val="Calibri"/>
        <family val="2"/>
        <scheme val="minor"/>
      </rPr>
      <t>$1.665</t>
    </r>
  </si>
  <si>
    <r>
      <t>13 Azúcar</t>
    </r>
    <r>
      <rPr>
        <b/>
        <sz val="11"/>
        <color theme="1"/>
        <rFont val="Calibri"/>
        <family val="2"/>
        <scheme val="minor"/>
      </rPr>
      <t xml:space="preserve"> $1.300</t>
    </r>
  </si>
  <si>
    <r>
      <t xml:space="preserve">70 Jugos de naranja </t>
    </r>
    <r>
      <rPr>
        <b/>
        <sz val="11"/>
        <color theme="1"/>
        <rFont val="Calibri"/>
        <family val="2"/>
        <scheme val="minor"/>
      </rPr>
      <t>$1.690</t>
    </r>
  </si>
  <si>
    <r>
      <t>16 Gin merle</t>
    </r>
    <r>
      <rPr>
        <b/>
        <sz val="11"/>
        <color theme="1"/>
        <rFont val="Calibri"/>
        <family val="2"/>
        <scheme val="minor"/>
      </rPr>
      <t xml:space="preserve"> $7.140</t>
    </r>
  </si>
  <si>
    <r>
      <t xml:space="preserve">24 Campari </t>
    </r>
    <r>
      <rPr>
        <b/>
        <sz val="11"/>
        <color theme="1"/>
        <rFont val="Calibri"/>
        <family val="2"/>
        <scheme val="minor"/>
      </rPr>
      <t>$8.300</t>
    </r>
  </si>
  <si>
    <r>
      <t xml:space="preserve">7 Ron para Daikiri </t>
    </r>
    <r>
      <rPr>
        <b/>
        <sz val="11"/>
        <color theme="1"/>
        <rFont val="Calibri"/>
        <family val="2"/>
        <scheme val="minor"/>
      </rPr>
      <t>$4.580</t>
    </r>
  </si>
  <si>
    <r>
      <t xml:space="preserve">36 Bolsas de hielo </t>
    </r>
    <r>
      <rPr>
        <b/>
        <sz val="11"/>
        <color theme="1"/>
        <rFont val="Calibri"/>
        <family val="2"/>
        <scheme val="minor"/>
      </rPr>
      <t>$8.500</t>
    </r>
  </si>
  <si>
    <r>
      <t xml:space="preserve">6 Pulpas de durazno </t>
    </r>
    <r>
      <rPr>
        <b/>
        <sz val="11"/>
        <color theme="1"/>
        <rFont val="Calibri"/>
        <family val="2"/>
        <scheme val="minor"/>
      </rPr>
      <t>$2.500</t>
    </r>
  </si>
  <si>
    <r>
      <t xml:space="preserve">260 Coca Cola </t>
    </r>
    <r>
      <rPr>
        <b/>
        <sz val="11"/>
        <color theme="1"/>
        <rFont val="Calibri"/>
        <family val="2"/>
        <scheme val="minor"/>
      </rPr>
      <t>$3.600</t>
    </r>
  </si>
  <si>
    <r>
      <t xml:space="preserve">200 Sprite </t>
    </r>
    <r>
      <rPr>
        <b/>
        <sz val="11"/>
        <color theme="1"/>
        <rFont val="Calibri"/>
        <family val="2"/>
        <scheme val="minor"/>
      </rPr>
      <t>$3.600</t>
    </r>
  </si>
  <si>
    <r>
      <t xml:space="preserve">20 Agua saborizada </t>
    </r>
    <r>
      <rPr>
        <b/>
        <sz val="11"/>
        <color theme="1"/>
        <rFont val="Calibri"/>
        <family val="2"/>
        <scheme val="minor"/>
      </rPr>
      <t>$980</t>
    </r>
  </si>
  <si>
    <r>
      <t xml:space="preserve">51 Fernet </t>
    </r>
    <r>
      <rPr>
        <b/>
        <sz val="11"/>
        <color theme="1"/>
        <rFont val="Calibri"/>
        <family val="2"/>
        <scheme val="minor"/>
      </rPr>
      <t>$13.990</t>
    </r>
  </si>
  <si>
    <r>
      <t xml:space="preserve">6 Champagne </t>
    </r>
    <r>
      <rPr>
        <b/>
        <sz val="11"/>
        <color theme="1"/>
        <rFont val="Calibri"/>
        <family val="2"/>
        <scheme val="minor"/>
      </rPr>
      <t>$5.200</t>
    </r>
  </si>
  <si>
    <r>
      <t xml:space="preserve">1100 Cerveza Brahma 473 ml. </t>
    </r>
    <r>
      <rPr>
        <b/>
        <sz val="10"/>
        <color theme="1"/>
        <rFont val="Calibri"/>
        <family val="2"/>
        <scheme val="minor"/>
      </rPr>
      <t>$1.600</t>
    </r>
  </si>
  <si>
    <r>
      <t xml:space="preserve">80 Pulpas de Frutilla  </t>
    </r>
    <r>
      <rPr>
        <b/>
        <sz val="11"/>
        <color theme="1"/>
        <rFont val="Calibri"/>
        <family val="2"/>
        <scheme val="minor"/>
      </rPr>
      <t>$2.900</t>
    </r>
  </si>
  <si>
    <r>
      <t xml:space="preserve">27  Gancia </t>
    </r>
    <r>
      <rPr>
        <b/>
        <sz val="11"/>
        <color theme="1"/>
        <rFont val="Calibri"/>
        <family val="2"/>
        <scheme val="minor"/>
      </rPr>
      <t>$6.200</t>
    </r>
  </si>
  <si>
    <r>
      <t>18 Vino Blanco</t>
    </r>
    <r>
      <rPr>
        <b/>
        <sz val="11"/>
        <color theme="1"/>
        <rFont val="Calibri"/>
        <family val="2"/>
        <scheme val="minor"/>
      </rPr>
      <t xml:space="preserve"> $3.950</t>
    </r>
  </si>
  <si>
    <r>
      <t xml:space="preserve">13KL. Tomate Cherry </t>
    </r>
    <r>
      <rPr>
        <b/>
        <sz val="11"/>
        <color theme="1"/>
        <rFont val="Calibri"/>
        <family val="2"/>
        <scheme val="minor"/>
      </rPr>
      <t>$3.500</t>
    </r>
  </si>
  <si>
    <r>
      <t xml:space="preserve">20 Kl. Tomate perita </t>
    </r>
    <r>
      <rPr>
        <b/>
        <sz val="11"/>
        <color theme="1"/>
        <rFont val="Calibri"/>
        <family val="2"/>
        <scheme val="minor"/>
      </rPr>
      <t>$1.500</t>
    </r>
  </si>
  <si>
    <r>
      <t xml:space="preserve">3 Paq. Albahaca </t>
    </r>
    <r>
      <rPr>
        <b/>
        <sz val="11"/>
        <color theme="1"/>
        <rFont val="Calibri"/>
        <family val="2"/>
        <scheme val="minor"/>
      </rPr>
      <t>$3.500</t>
    </r>
  </si>
  <si>
    <r>
      <t xml:space="preserve">10Kl. Verdeo </t>
    </r>
    <r>
      <rPr>
        <b/>
        <sz val="11"/>
        <color theme="1"/>
        <rFont val="Calibri"/>
        <family val="2"/>
        <scheme val="minor"/>
      </rPr>
      <t>$4.000</t>
    </r>
  </si>
  <si>
    <r>
      <t xml:space="preserve">10 Lechugas grandes </t>
    </r>
    <r>
      <rPr>
        <b/>
        <sz val="11"/>
        <color theme="1"/>
        <rFont val="Calibri"/>
        <family val="2"/>
        <scheme val="minor"/>
      </rPr>
      <t>$2.000</t>
    </r>
  </si>
  <si>
    <r>
      <t xml:space="preserve">4 Bolsas de Cebolla </t>
    </r>
    <r>
      <rPr>
        <b/>
        <sz val="11"/>
        <color theme="1"/>
        <rFont val="Calibri"/>
        <family val="2"/>
        <scheme val="minor"/>
      </rPr>
      <t>$14.000</t>
    </r>
  </si>
  <si>
    <r>
      <t xml:space="preserve">11 Bolsas de papa </t>
    </r>
    <r>
      <rPr>
        <b/>
        <sz val="11"/>
        <color theme="1"/>
        <rFont val="Calibri"/>
        <family val="2"/>
        <scheme val="minor"/>
      </rPr>
      <t>$15.000</t>
    </r>
  </si>
  <si>
    <r>
      <t xml:space="preserve">10 Maples de huevos </t>
    </r>
    <r>
      <rPr>
        <b/>
        <sz val="11"/>
        <color theme="1"/>
        <rFont val="Calibri"/>
        <family val="2"/>
        <scheme val="minor"/>
      </rPr>
      <t>$5.000</t>
    </r>
  </si>
  <si>
    <r>
      <t xml:space="preserve">10 Kl. Morron rojo </t>
    </r>
    <r>
      <rPr>
        <b/>
        <sz val="11"/>
        <color theme="1"/>
        <rFont val="Calibri"/>
        <family val="2"/>
        <scheme val="minor"/>
      </rPr>
      <t>$3.800</t>
    </r>
  </si>
  <si>
    <r>
      <t xml:space="preserve">20 kl.Zanahoria </t>
    </r>
    <r>
      <rPr>
        <b/>
        <sz val="11"/>
        <color theme="1"/>
        <rFont val="Calibri"/>
        <family val="2"/>
        <scheme val="minor"/>
      </rPr>
      <t>$1.700</t>
    </r>
  </si>
  <si>
    <r>
      <t xml:space="preserve">5 kl. Uva </t>
    </r>
    <r>
      <rPr>
        <b/>
        <sz val="11"/>
        <color theme="1"/>
        <rFont val="Calibri"/>
        <family val="2"/>
        <scheme val="minor"/>
      </rPr>
      <t>$4.000</t>
    </r>
  </si>
  <si>
    <r>
      <t xml:space="preserve">4 kl. Durazno </t>
    </r>
    <r>
      <rPr>
        <b/>
        <sz val="11"/>
        <color theme="1"/>
        <rFont val="Calibri"/>
        <family val="2"/>
        <scheme val="minor"/>
      </rPr>
      <t>$5.000</t>
    </r>
  </si>
  <si>
    <r>
      <t xml:space="preserve">6 kl. Naranjas </t>
    </r>
    <r>
      <rPr>
        <b/>
        <sz val="11"/>
        <color theme="1"/>
        <rFont val="Calibri"/>
        <family val="2"/>
        <scheme val="minor"/>
      </rPr>
      <t>$.2000</t>
    </r>
  </si>
  <si>
    <r>
      <t xml:space="preserve">12 kl. Bananas </t>
    </r>
    <r>
      <rPr>
        <b/>
        <sz val="11"/>
        <color theme="1"/>
        <rFont val="Calibri"/>
        <family val="2"/>
        <scheme val="minor"/>
      </rPr>
      <t>$3.000</t>
    </r>
  </si>
  <si>
    <r>
      <t xml:space="preserve">2 kl. Kiwi </t>
    </r>
    <r>
      <rPr>
        <b/>
        <sz val="11"/>
        <color theme="1"/>
        <rFont val="Calibri"/>
        <family val="2"/>
        <scheme val="minor"/>
      </rPr>
      <t>$8.000</t>
    </r>
  </si>
  <si>
    <r>
      <t>1kl. Zuquini</t>
    </r>
    <r>
      <rPr>
        <b/>
        <sz val="11"/>
        <color theme="1"/>
        <rFont val="Calibri"/>
        <family val="2"/>
        <scheme val="minor"/>
      </rPr>
      <t xml:space="preserve"> $3.000</t>
    </r>
  </si>
  <si>
    <r>
      <t xml:space="preserve">8 Paq. Rúcula </t>
    </r>
    <r>
      <rPr>
        <b/>
        <sz val="11"/>
        <color theme="1"/>
        <rFont val="Calibri"/>
        <family val="2"/>
        <scheme val="minor"/>
      </rPr>
      <t>$3.500</t>
    </r>
  </si>
  <si>
    <r>
      <t xml:space="preserve">3kl. Espinaca </t>
    </r>
    <r>
      <rPr>
        <b/>
        <sz val="11"/>
        <color theme="1"/>
        <rFont val="Calibri"/>
        <family val="2"/>
        <scheme val="minor"/>
      </rPr>
      <t>$4.500</t>
    </r>
  </si>
  <si>
    <r>
      <t xml:space="preserve">2kl. Pera </t>
    </r>
    <r>
      <rPr>
        <b/>
        <sz val="11"/>
        <color theme="1"/>
        <rFont val="Calibri"/>
        <family val="2"/>
        <scheme val="minor"/>
      </rPr>
      <t>$4.500</t>
    </r>
  </si>
  <si>
    <t>XV BIANCA SAN CARLOS 02-05</t>
  </si>
  <si>
    <t>EVENTO ANABELLA VILLA ELISA 02-05</t>
  </si>
  <si>
    <t>XV EMILY CATERING 09-05</t>
  </si>
  <si>
    <t>EVENTO LAURA SAN CARLOS 16-05</t>
  </si>
  <si>
    <t>EVENTO MARTA SAN CARLOS 23-05</t>
  </si>
  <si>
    <t>XV KIARA CATERING 23-05</t>
  </si>
  <si>
    <t>40 AÑOS PABLO CATERING 23-05</t>
  </si>
  <si>
    <t>XV CAMILA CATERING 29-05</t>
  </si>
  <si>
    <t>CUMPLE GONZALO SAN CARLOS 29-05</t>
  </si>
  <si>
    <t>XV ZOE SAN CARLOS 30-05</t>
  </si>
  <si>
    <r>
      <t xml:space="preserve">30 kl. Picada </t>
    </r>
    <r>
      <rPr>
        <b/>
        <sz val="11"/>
        <color theme="1"/>
        <rFont val="Calibri"/>
        <family val="2"/>
        <scheme val="minor"/>
      </rPr>
      <t>$10.500</t>
    </r>
  </si>
  <si>
    <r>
      <t>20kl. Bondiolas</t>
    </r>
    <r>
      <rPr>
        <b/>
        <sz val="11"/>
        <color theme="1"/>
        <rFont val="Calibri"/>
        <family val="2"/>
        <scheme val="minor"/>
      </rPr>
      <t xml:space="preserve"> $8.890</t>
    </r>
  </si>
  <si>
    <r>
      <t xml:space="preserve">0 Detergente concentrado </t>
    </r>
    <r>
      <rPr>
        <b/>
        <sz val="11"/>
        <color theme="1"/>
        <rFont val="Calibri"/>
        <family val="2"/>
        <scheme val="minor"/>
      </rPr>
      <t>$21.200</t>
    </r>
  </si>
  <si>
    <r>
      <t xml:space="preserve">0 Lts. Alcohol etílico </t>
    </r>
    <r>
      <rPr>
        <b/>
        <sz val="11"/>
        <color theme="1"/>
        <rFont val="Calibri"/>
        <family val="2"/>
        <scheme val="minor"/>
      </rPr>
      <t>$14.132,23</t>
    </r>
  </si>
  <si>
    <r>
      <t xml:space="preserve">0 Repasadores </t>
    </r>
    <r>
      <rPr>
        <b/>
        <sz val="11"/>
        <color theme="1"/>
        <rFont val="Calibri"/>
        <family val="2"/>
        <scheme val="minor"/>
      </rPr>
      <t>$2.497</t>
    </r>
  </si>
  <si>
    <r>
      <t xml:space="preserve">0 Lts. Desengrasantes </t>
    </r>
    <r>
      <rPr>
        <b/>
        <sz val="11"/>
        <color theme="1"/>
        <rFont val="Calibri"/>
        <family val="2"/>
        <scheme val="minor"/>
      </rPr>
      <t>$13.667</t>
    </r>
  </si>
  <si>
    <r>
      <t xml:space="preserve">65 kl. Vacío </t>
    </r>
    <r>
      <rPr>
        <b/>
        <sz val="11"/>
        <color theme="1"/>
        <rFont val="Calibri"/>
        <family val="2"/>
        <scheme val="minor"/>
      </rPr>
      <t>$26.300</t>
    </r>
  </si>
  <si>
    <r>
      <t xml:space="preserve">120kl. Pechugas </t>
    </r>
    <r>
      <rPr>
        <b/>
        <sz val="11"/>
        <color theme="1"/>
        <rFont val="Calibri"/>
        <family val="2"/>
        <scheme val="minor"/>
      </rPr>
      <t>$8.200</t>
    </r>
  </si>
  <si>
    <r>
      <t xml:space="preserve">48kl. Paleta de cerdo </t>
    </r>
    <r>
      <rPr>
        <b/>
        <sz val="11"/>
        <color theme="1"/>
        <rFont val="Calibri"/>
        <family val="2"/>
        <scheme val="minor"/>
      </rPr>
      <t>$5.700</t>
    </r>
  </si>
  <si>
    <r>
      <t xml:space="preserve">3 kl. De Matambre </t>
    </r>
    <r>
      <rPr>
        <b/>
        <sz val="11"/>
        <color theme="1"/>
        <rFont val="Calibri"/>
        <family val="2"/>
        <scheme val="minor"/>
      </rPr>
      <t>$15.900</t>
    </r>
  </si>
  <si>
    <r>
      <t xml:space="preserve">10 kl. Paleta Tacos </t>
    </r>
    <r>
      <rPr>
        <b/>
        <sz val="11"/>
        <color theme="1"/>
        <rFont val="Calibri"/>
        <family val="2"/>
        <scheme val="minor"/>
      </rPr>
      <t>$17.900</t>
    </r>
  </si>
  <si>
    <r>
      <t xml:space="preserve">15kl. Lomo </t>
    </r>
    <r>
      <rPr>
        <b/>
        <sz val="11"/>
        <color theme="1"/>
        <rFont val="Calibri"/>
        <family val="2"/>
        <scheme val="minor"/>
      </rPr>
      <t>$32.500</t>
    </r>
  </si>
  <si>
    <r>
      <t xml:space="preserve">0kl. De Pata muslo </t>
    </r>
    <r>
      <rPr>
        <b/>
        <sz val="11"/>
        <color theme="1"/>
        <rFont val="Calibri"/>
        <family val="2"/>
        <scheme val="minor"/>
      </rPr>
      <t>$3.200</t>
    </r>
  </si>
  <si>
    <r>
      <t xml:space="preserve">5 litros de cera autobrillo </t>
    </r>
    <r>
      <rPr>
        <b/>
        <sz val="11"/>
        <color theme="1"/>
        <rFont val="Calibri"/>
        <family val="2"/>
        <scheme val="minor"/>
      </rPr>
      <t>$18.794,21</t>
    </r>
  </si>
  <si>
    <r>
      <t xml:space="preserve">2 Cajas de Servilletas Elite de 10 </t>
    </r>
    <r>
      <rPr>
        <b/>
        <sz val="11"/>
        <color theme="1"/>
        <rFont val="Calibri"/>
        <family val="2"/>
        <scheme val="minor"/>
      </rPr>
      <t>$20.463</t>
    </r>
  </si>
  <si>
    <r>
      <t xml:space="preserve">5 Lts Detergente normal </t>
    </r>
    <r>
      <rPr>
        <b/>
        <sz val="11"/>
        <color theme="1"/>
        <rFont val="Calibri"/>
        <family val="2"/>
        <scheme val="minor"/>
      </rPr>
      <t>$8.652,89</t>
    </r>
  </si>
  <si>
    <r>
      <t xml:space="preserve">3 Paq. Papel higiénico jumbo Élite </t>
    </r>
    <r>
      <rPr>
        <b/>
        <sz val="10"/>
        <color theme="1"/>
        <rFont val="Calibri"/>
        <family val="2"/>
        <scheme val="minor"/>
      </rPr>
      <t>$10.595,04</t>
    </r>
  </si>
  <si>
    <r>
      <t xml:space="preserve">12 Pack de bolsas de consorcio </t>
    </r>
    <r>
      <rPr>
        <b/>
        <sz val="11"/>
        <color theme="1"/>
        <rFont val="Calibri"/>
        <family val="2"/>
        <scheme val="minor"/>
      </rPr>
      <t>$1.858,68</t>
    </r>
  </si>
  <si>
    <r>
      <t xml:space="preserve">10 Pack de bolsas de residuos </t>
    </r>
    <r>
      <rPr>
        <b/>
        <sz val="11"/>
        <color theme="1"/>
        <rFont val="Calibri"/>
        <family val="2"/>
        <scheme val="minor"/>
      </rPr>
      <t>$666,94</t>
    </r>
  </si>
  <si>
    <r>
      <t>25 Litros de cloro</t>
    </r>
    <r>
      <rPr>
        <b/>
        <sz val="11"/>
        <color theme="1"/>
        <rFont val="Calibri"/>
        <family val="2"/>
        <scheme val="minor"/>
      </rPr>
      <t xml:space="preserve"> $4.703,31</t>
    </r>
  </si>
  <si>
    <r>
      <t xml:space="preserve">6 Jabón Blanco </t>
    </r>
    <r>
      <rPr>
        <b/>
        <sz val="11"/>
        <color theme="1"/>
        <rFont val="Calibri"/>
        <family val="2"/>
        <scheme val="minor"/>
      </rPr>
      <t>$1784,,30</t>
    </r>
  </si>
  <si>
    <r>
      <t xml:space="preserve">20 Lts. Desodorante piso Marina </t>
    </r>
    <r>
      <rPr>
        <b/>
        <sz val="11"/>
        <color theme="1"/>
        <rFont val="Calibri"/>
        <family val="2"/>
        <scheme val="minor"/>
      </rPr>
      <t>$4094,21</t>
    </r>
  </si>
  <si>
    <r>
      <t xml:space="preserve">1 Par de guantes para limpiar </t>
    </r>
    <r>
      <rPr>
        <b/>
        <sz val="11"/>
        <color theme="1"/>
        <rFont val="Calibri"/>
        <family val="2"/>
        <scheme val="minor"/>
      </rPr>
      <t>$3.687,60</t>
    </r>
  </si>
  <si>
    <r>
      <t xml:space="preserve">3 Cif o Harpic </t>
    </r>
    <r>
      <rPr>
        <b/>
        <sz val="11"/>
        <color theme="1"/>
        <rFont val="Calibri"/>
        <family val="2"/>
        <scheme val="minor"/>
      </rPr>
      <t>$3.457,85</t>
    </r>
  </si>
  <si>
    <r>
      <t xml:space="preserve">1 Blem para madera </t>
    </r>
    <r>
      <rPr>
        <b/>
        <sz val="11"/>
        <color theme="1"/>
        <rFont val="Calibri"/>
        <family val="2"/>
        <scheme val="minor"/>
      </rPr>
      <t>$5.231,40</t>
    </r>
  </si>
  <si>
    <r>
      <t xml:space="preserve">5 Esponjas de acero </t>
    </r>
    <r>
      <rPr>
        <b/>
        <sz val="11"/>
        <color theme="1"/>
        <rFont val="Calibri"/>
        <family val="2"/>
        <scheme val="minor"/>
      </rPr>
      <t>$2.484,30</t>
    </r>
  </si>
  <si>
    <r>
      <t xml:space="preserve">6 Aerosoles de Vainilla </t>
    </r>
    <r>
      <rPr>
        <b/>
        <sz val="11"/>
        <color theme="1"/>
        <rFont val="Calibri"/>
        <family val="2"/>
        <scheme val="minor"/>
      </rPr>
      <t>$3.588,43</t>
    </r>
  </si>
  <si>
    <r>
      <t>5 Lts. Jabón Líquido para manos</t>
    </r>
    <r>
      <rPr>
        <b/>
        <sz val="11"/>
        <color theme="1"/>
        <rFont val="Calibri"/>
        <family val="2"/>
        <scheme val="minor"/>
      </rPr>
      <t xml:space="preserve"> $9.921,49</t>
    </r>
  </si>
  <si>
    <r>
      <t xml:space="preserve">1 Recipiente adosable x 100 Lts. </t>
    </r>
    <r>
      <rPr>
        <b/>
        <sz val="11"/>
        <color theme="1"/>
        <rFont val="Calibri"/>
        <family val="2"/>
        <scheme val="minor"/>
      </rPr>
      <t>$60.339</t>
    </r>
  </si>
  <si>
    <r>
      <t xml:space="preserve"> 2 Lts. Perfume Coniglio Dione </t>
    </r>
    <r>
      <rPr>
        <b/>
        <sz val="11"/>
        <color theme="1"/>
        <rFont val="Calibri"/>
        <family val="2"/>
        <scheme val="minor"/>
      </rPr>
      <t>$3.910</t>
    </r>
  </si>
  <si>
    <r>
      <t xml:space="preserve">2 Tachos de basura para los baños </t>
    </r>
    <r>
      <rPr>
        <b/>
        <sz val="11"/>
        <color theme="1"/>
        <rFont val="Calibri"/>
        <family val="2"/>
        <scheme val="minor"/>
      </rPr>
      <t>$6.740</t>
    </r>
  </si>
  <si>
    <r>
      <t xml:space="preserve">6 Rejillas </t>
    </r>
    <r>
      <rPr>
        <b/>
        <sz val="11"/>
        <color theme="1"/>
        <rFont val="Calibri"/>
        <family val="2"/>
        <scheme val="minor"/>
      </rPr>
      <t>$1.369</t>
    </r>
  </si>
  <si>
    <r>
      <t>6 Trapos para piso</t>
    </r>
    <r>
      <rPr>
        <b/>
        <sz val="11"/>
        <color theme="1"/>
        <rFont val="Calibri"/>
        <family val="2"/>
        <scheme val="minor"/>
      </rPr>
      <t xml:space="preserve"> $847,93</t>
    </r>
  </si>
  <si>
    <r>
      <t xml:space="preserve">2 Lts de Crema para Inodoro </t>
    </r>
    <r>
      <rPr>
        <b/>
        <sz val="11"/>
        <color theme="1"/>
        <rFont val="Calibri"/>
        <family val="2"/>
        <scheme val="minor"/>
      </rPr>
      <t>$6.000</t>
    </r>
  </si>
  <si>
    <r>
      <t xml:space="preserve">12kl. De Suprema Mila </t>
    </r>
    <r>
      <rPr>
        <b/>
        <sz val="11"/>
        <color theme="1"/>
        <rFont val="Calibri"/>
        <family val="2"/>
        <scheme val="minor"/>
      </rPr>
      <t>$6.595</t>
    </r>
  </si>
  <si>
    <r>
      <t xml:space="preserve">8kl Roast beef </t>
    </r>
    <r>
      <rPr>
        <b/>
        <sz val="11"/>
        <color theme="1"/>
        <rFont val="Calibri"/>
        <family val="2"/>
        <scheme val="minor"/>
      </rPr>
      <t>$17.300</t>
    </r>
  </si>
  <si>
    <t xml:space="preserve">DEL 04 AL 10/05/2026  </t>
  </si>
  <si>
    <t xml:space="preserve">DEL 18 AL 24/05/2026  </t>
  </si>
  <si>
    <t xml:space="preserve">DEL 11 AL 17/05/2026  </t>
  </si>
  <si>
    <t xml:space="preserve">DEL 25 AL 30/05/2026  </t>
  </si>
  <si>
    <r>
      <t xml:space="preserve">2 aceites de 10 litros </t>
    </r>
    <r>
      <rPr>
        <b/>
        <sz val="11"/>
        <color theme="1"/>
        <rFont val="Calibri"/>
        <family val="2"/>
        <scheme val="minor"/>
      </rPr>
      <t>$35.112</t>
    </r>
  </si>
  <si>
    <r>
      <t xml:space="preserve">1 Barra de Mortadela </t>
    </r>
    <r>
      <rPr>
        <b/>
        <sz val="11"/>
        <color theme="1"/>
        <rFont val="Calibri"/>
        <family val="2"/>
        <scheme val="minor"/>
      </rPr>
      <t>$26.005,80</t>
    </r>
  </si>
  <si>
    <r>
      <t xml:space="preserve">1 Caja de Puré </t>
    </r>
    <r>
      <rPr>
        <b/>
        <sz val="11"/>
        <color theme="1"/>
        <rFont val="Calibri"/>
        <family val="2"/>
        <scheme val="minor"/>
      </rPr>
      <t>$12.504,70</t>
    </r>
  </si>
  <si>
    <r>
      <t xml:space="preserve">1 Queso crema </t>
    </r>
    <r>
      <rPr>
        <b/>
        <sz val="11"/>
        <color theme="1"/>
        <rFont val="Calibri"/>
        <family val="2"/>
        <scheme val="minor"/>
      </rPr>
      <t>$26.683,08</t>
    </r>
  </si>
  <si>
    <r>
      <t xml:space="preserve">1 Caja de Salchichas </t>
    </r>
    <r>
      <rPr>
        <b/>
        <sz val="11"/>
        <color theme="1"/>
        <rFont val="Calibri"/>
        <family val="2"/>
        <scheme val="minor"/>
      </rPr>
      <t>$1.092</t>
    </r>
  </si>
  <si>
    <r>
      <t xml:space="preserve">DEL 04 AL 10/05/2026  </t>
    </r>
    <r>
      <rPr>
        <b/>
        <sz val="11"/>
        <color theme="1"/>
        <rFont val="Calibri"/>
        <family val="2"/>
        <scheme val="minor"/>
      </rPr>
      <t>0 PAQ.</t>
    </r>
  </si>
  <si>
    <r>
      <t>DEL 12 AL 16/05/2026  1</t>
    </r>
    <r>
      <rPr>
        <b/>
        <sz val="11"/>
        <color theme="1"/>
        <rFont val="Calibri"/>
        <family val="2"/>
        <scheme val="minor"/>
      </rPr>
      <t xml:space="preserve"> PAQ.</t>
    </r>
  </si>
  <si>
    <r>
      <t xml:space="preserve">DEL 18 AL 23/05/2026  </t>
    </r>
    <r>
      <rPr>
        <b/>
        <sz val="11"/>
        <color theme="1"/>
        <rFont val="Calibri"/>
        <family val="2"/>
        <scheme val="minor"/>
      </rPr>
      <t>2 PAQ.</t>
    </r>
  </si>
  <si>
    <r>
      <t xml:space="preserve">DEL 25 AL 30/05/2026  </t>
    </r>
    <r>
      <rPr>
        <b/>
        <sz val="11"/>
        <color theme="1"/>
        <rFont val="Calibri"/>
        <family val="2"/>
        <scheme val="minor"/>
      </rPr>
      <t>3 PAQ.</t>
    </r>
  </si>
  <si>
    <t>6 Resaltadores</t>
  </si>
  <si>
    <t>3 Lápiz corrector</t>
  </si>
  <si>
    <t>1 Caja de Lapiceras</t>
  </si>
  <si>
    <t>1 Caja de Grapas</t>
  </si>
  <si>
    <t>1 Recarga de Cartucho</t>
  </si>
  <si>
    <r>
      <t xml:space="preserve">2 Sacos de harina </t>
    </r>
    <r>
      <rPr>
        <b/>
        <sz val="11"/>
        <color theme="1"/>
        <rFont val="Calibri"/>
        <family val="2"/>
        <scheme val="minor"/>
      </rPr>
      <t>$17.919,30</t>
    </r>
  </si>
  <si>
    <r>
      <t xml:space="preserve">6 Levaduras </t>
    </r>
    <r>
      <rPr>
        <b/>
        <sz val="11"/>
        <color theme="1"/>
        <rFont val="Calibri"/>
        <family val="2"/>
        <scheme val="minor"/>
      </rPr>
      <t>$2.231,46</t>
    </r>
  </si>
  <si>
    <t xml:space="preserve">                             CONTROL DE GASTOS APROXIMADO PARA EL MES DE MAYO</t>
  </si>
  <si>
    <t xml:space="preserve">                                  CONTROL DE GASTOS APROXIMADO PARA EL MES MAYO</t>
  </si>
  <si>
    <t xml:space="preserve">                        CONTROL DE GASTOS APROXIMADO PARA EL MES DE MAYO</t>
  </si>
  <si>
    <t xml:space="preserve">             RESULTADOS ARROJADOS EN BASE A LAS COMPRAS REALIZADAS EN MAYO</t>
  </si>
  <si>
    <t>GASTOS DE HELADOS</t>
  </si>
  <si>
    <t>Imprimir Carpetas de los 3 sectores</t>
  </si>
  <si>
    <t>EVENTO TEO 30-05</t>
  </si>
  <si>
    <r>
      <t xml:space="preserve">34 Tónica Schweppes </t>
    </r>
    <r>
      <rPr>
        <b/>
        <sz val="11"/>
        <color theme="1"/>
        <rFont val="Calibri"/>
        <family val="2"/>
        <scheme val="minor"/>
      </rPr>
      <t>$3.900</t>
    </r>
  </si>
  <si>
    <r>
      <t xml:space="preserve"> Agua mineral </t>
    </r>
    <r>
      <rPr>
        <b/>
        <sz val="11"/>
        <color theme="1"/>
        <rFont val="Calibri"/>
        <family val="2"/>
        <scheme val="minor"/>
      </rPr>
      <t>$1.200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</si>
</sst>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2">
    <xf numFmtId="0" fontId="0" fillId="0" borderId="0" xfId="0"/>
    <xf numFmtId="0" fontId="3" fillId="0" borderId="0" xfId="0" applyFont="1"/>
    <xf numFmtId="0" fontId="4" fillId="0" borderId="1" xfId="0" applyFont="1" applyBorder="1"/>
    <xf numFmtId="0" fontId="6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16" xfId="0" applyBorder="1"/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26" xfId="0" applyBorder="1"/>
    <xf numFmtId="0" fontId="0" fillId="0" borderId="1" xfId="0" applyBorder="1"/>
    <xf numFmtId="0" fontId="4" fillId="0" borderId="2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44" fontId="0" fillId="0" borderId="11" xfId="1" applyFont="1" applyBorder="1"/>
    <xf numFmtId="0" fontId="2" fillId="2" borderId="22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" fillId="2" borderId="5" xfId="0" applyFont="1" applyFill="1" applyBorder="1" applyAlignment="1">
      <alignment horizontal="center"/>
    </xf>
    <xf numFmtId="44" fontId="0" fillId="0" borderId="6" xfId="1" applyFont="1" applyBorder="1"/>
    <xf numFmtId="44" fontId="0" fillId="0" borderId="1" xfId="1" applyFont="1" applyBorder="1"/>
    <xf numFmtId="0" fontId="2" fillId="3" borderId="0" xfId="0" applyFont="1" applyFill="1" applyBorder="1" applyAlignment="1">
      <alignment horizontal="right"/>
    </xf>
    <xf numFmtId="0" fontId="0" fillId="0" borderId="31" xfId="0" applyBorder="1"/>
    <xf numFmtId="44" fontId="0" fillId="0" borderId="32" xfId="1" applyFont="1" applyBorder="1"/>
    <xf numFmtId="0" fontId="0" fillId="0" borderId="0" xfId="0" applyBorder="1"/>
    <xf numFmtId="44" fontId="0" fillId="0" borderId="0" xfId="1" applyFont="1" applyBorder="1"/>
    <xf numFmtId="0" fontId="2" fillId="2" borderId="22" xfId="0" applyFont="1" applyFill="1" applyBorder="1" applyAlignment="1">
      <alignment horizontal="right"/>
    </xf>
    <xf numFmtId="44" fontId="2" fillId="2" borderId="29" xfId="0" applyNumberFormat="1" applyFont="1" applyFill="1" applyBorder="1"/>
    <xf numFmtId="44" fontId="2" fillId="2" borderId="5" xfId="0" applyNumberFormat="1" applyFont="1" applyFill="1" applyBorder="1"/>
    <xf numFmtId="0" fontId="2" fillId="2" borderId="37" xfId="0" applyFont="1" applyFill="1" applyBorder="1" applyAlignment="1">
      <alignment horizontal="right"/>
    </xf>
    <xf numFmtId="44" fontId="2" fillId="2" borderId="30" xfId="0" applyNumberFormat="1" applyFont="1" applyFill="1" applyBorder="1"/>
    <xf numFmtId="44" fontId="0" fillId="0" borderId="26" xfId="1" applyFont="1" applyBorder="1"/>
    <xf numFmtId="0" fontId="0" fillId="0" borderId="27" xfId="0" applyBorder="1"/>
    <xf numFmtId="0" fontId="2" fillId="4" borderId="22" xfId="0" applyFont="1" applyFill="1" applyBorder="1" applyAlignment="1">
      <alignment horizontal="right"/>
    </xf>
    <xf numFmtId="44" fontId="2" fillId="4" borderId="5" xfId="1" applyFont="1" applyFill="1" applyBorder="1"/>
    <xf numFmtId="0" fontId="10" fillId="3" borderId="0" xfId="0" applyFont="1" applyFill="1"/>
    <xf numFmtId="44" fontId="0" fillId="0" borderId="12" xfId="1" applyFont="1" applyBorder="1"/>
    <xf numFmtId="0" fontId="2" fillId="4" borderId="24" xfId="0" applyFont="1" applyFill="1" applyBorder="1" applyAlignment="1">
      <alignment horizontal="right"/>
    </xf>
    <xf numFmtId="44" fontId="2" fillId="4" borderId="1" xfId="1" applyFont="1" applyFill="1" applyBorder="1"/>
    <xf numFmtId="0" fontId="10" fillId="0" borderId="0" xfId="0" applyFont="1"/>
    <xf numFmtId="44" fontId="0" fillId="0" borderId="0" xfId="1" applyFont="1"/>
    <xf numFmtId="0" fontId="8" fillId="2" borderId="2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/>
    </xf>
    <xf numFmtId="0" fontId="7" fillId="0" borderId="23" xfId="0" applyFont="1" applyBorder="1"/>
    <xf numFmtId="0" fontId="7" fillId="0" borderId="24" xfId="0" applyFont="1" applyBorder="1"/>
    <xf numFmtId="0" fontId="4" fillId="0" borderId="2" xfId="0" applyFont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0" fillId="0" borderId="43" xfId="0" applyBorder="1"/>
    <xf numFmtId="0" fontId="0" fillId="0" borderId="2" xfId="0" applyBorder="1"/>
    <xf numFmtId="0" fontId="0" fillId="0" borderId="39" xfId="0" applyBorder="1"/>
    <xf numFmtId="44" fontId="2" fillId="3" borderId="0" xfId="0" applyNumberFormat="1" applyFont="1" applyFill="1" applyBorder="1"/>
    <xf numFmtId="0" fontId="0" fillId="0" borderId="24" xfId="0" applyFont="1" applyBorder="1"/>
    <xf numFmtId="0" fontId="0" fillId="0" borderId="23" xfId="0" applyFont="1" applyBorder="1"/>
    <xf numFmtId="0" fontId="0" fillId="0" borderId="27" xfId="0" applyFont="1" applyBorder="1"/>
    <xf numFmtId="0" fontId="0" fillId="0" borderId="38" xfId="0" applyFont="1" applyBorder="1"/>
    <xf numFmtId="44" fontId="0" fillId="3" borderId="0" xfId="1" applyFont="1" applyFill="1" applyBorder="1"/>
    <xf numFmtId="0" fontId="0" fillId="3" borderId="0" xfId="0" applyFont="1" applyFill="1" applyBorder="1" applyAlignment="1">
      <alignment horizontal="right"/>
    </xf>
    <xf numFmtId="0" fontId="0" fillId="0" borderId="0" xfId="0" applyAlignment="1">
      <alignment horizontal="left"/>
    </xf>
    <xf numFmtId="44" fontId="1" fillId="3" borderId="0" xfId="1" applyFont="1" applyFill="1" applyBorder="1"/>
    <xf numFmtId="0" fontId="0" fillId="0" borderId="0" xfId="0" applyFont="1"/>
    <xf numFmtId="0" fontId="0" fillId="0" borderId="6" xfId="0" applyBorder="1"/>
    <xf numFmtId="0" fontId="0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44" fontId="1" fillId="3" borderId="1" xfId="1" applyFont="1" applyFill="1" applyBorder="1"/>
    <xf numFmtId="44" fontId="0" fillId="0" borderId="1" xfId="1" applyFont="1" applyFill="1" applyBorder="1"/>
    <xf numFmtId="44" fontId="0" fillId="0" borderId="12" xfId="1" applyFont="1" applyFill="1" applyBorder="1"/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0" fontId="0" fillId="3" borderId="0" xfId="0" applyFont="1" applyFill="1" applyBorder="1" applyAlignment="1">
      <alignment horizontal="center"/>
    </xf>
    <xf numFmtId="0" fontId="0" fillId="3" borderId="0" xfId="0" applyFont="1" applyFill="1" applyBorder="1"/>
    <xf numFmtId="44" fontId="0" fillId="3" borderId="0" xfId="0" applyNumberFormat="1" applyFont="1" applyFill="1" applyBorder="1"/>
    <xf numFmtId="0" fontId="0" fillId="0" borderId="44" xfId="0" applyFont="1" applyBorder="1"/>
    <xf numFmtId="0" fontId="3" fillId="0" borderId="0" xfId="0" applyFont="1" applyAlignment="1">
      <alignment horizontal="center"/>
    </xf>
    <xf numFmtId="0" fontId="9" fillId="2" borderId="45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/>
    </xf>
    <xf numFmtId="0" fontId="9" fillId="2" borderId="4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/>
    </xf>
    <xf numFmtId="0" fontId="6" fillId="0" borderId="6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30" xfId="0" applyFont="1" applyBorder="1"/>
    <xf numFmtId="0" fontId="11" fillId="0" borderId="1" xfId="0" applyFont="1" applyBorder="1"/>
    <xf numFmtId="0" fontId="2" fillId="4" borderId="18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0" fillId="3" borderId="0" xfId="0" applyFill="1" applyBorder="1"/>
    <xf numFmtId="0" fontId="2" fillId="4" borderId="35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11" fillId="3" borderId="0" xfId="0" applyFont="1" applyFill="1" applyBorder="1"/>
    <xf numFmtId="0" fontId="0" fillId="3" borderId="0" xfId="0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 wrapText="1"/>
    </xf>
    <xf numFmtId="0" fontId="4" fillId="0" borderId="26" xfId="0" applyFont="1" applyBorder="1"/>
    <xf numFmtId="0" fontId="6" fillId="0" borderId="12" xfId="0" applyFont="1" applyBorder="1"/>
    <xf numFmtId="0" fontId="9" fillId="2" borderId="4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3" borderId="24" xfId="0" applyFill="1" applyBorder="1"/>
    <xf numFmtId="44" fontId="0" fillId="0" borderId="53" xfId="1" applyFont="1" applyBorder="1"/>
    <xf numFmtId="0" fontId="7" fillId="0" borderId="27" xfId="0" applyFont="1" applyBorder="1"/>
    <xf numFmtId="0" fontId="0" fillId="0" borderId="1" xfId="0" applyFont="1" applyBorder="1"/>
    <xf numFmtId="0" fontId="10" fillId="0" borderId="0" xfId="0" applyFont="1" applyAlignment="1"/>
    <xf numFmtId="0" fontId="0" fillId="3" borderId="0" xfId="0" applyFill="1"/>
    <xf numFmtId="0" fontId="9" fillId="2" borderId="5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12" fontId="4" fillId="3" borderId="3" xfId="0" applyNumberFormat="1" applyFont="1" applyFill="1" applyBorder="1" applyAlignment="1"/>
    <xf numFmtId="0" fontId="2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5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53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52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4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4" xfId="0" applyFont="1" applyFill="1" applyBorder="1" applyAlignment="1">
      <alignment horizontal="center"/>
    </xf>
    <xf numFmtId="0" fontId="9" fillId="4" borderId="5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44" fontId="0" fillId="3" borderId="6" xfId="1" applyFont="1" applyFill="1" applyBorder="1"/>
    <xf numFmtId="0" fontId="7" fillId="0" borderId="44" xfId="0" applyFont="1" applyBorder="1"/>
    <xf numFmtId="0" fontId="7" fillId="0" borderId="0" xfId="0" applyFont="1" applyBorder="1"/>
    <xf numFmtId="0" fontId="0" fillId="0" borderId="0" xfId="0" applyFont="1" applyBorder="1"/>
    <xf numFmtId="44" fontId="0" fillId="0" borderId="2" xfId="1" applyFont="1" applyBorder="1"/>
    <xf numFmtId="44" fontId="0" fillId="3" borderId="1" xfId="1" applyFont="1" applyFill="1" applyBorder="1"/>
    <xf numFmtId="0" fontId="10" fillId="3" borderId="0" xfId="0" applyFont="1" applyFill="1" applyBorder="1"/>
    <xf numFmtId="0" fontId="7" fillId="3" borderId="0" xfId="0" applyFont="1" applyFill="1" applyBorder="1"/>
    <xf numFmtId="44" fontId="2" fillId="2" borderId="5" xfId="1" applyFont="1" applyFill="1" applyBorder="1"/>
    <xf numFmtId="44" fontId="2" fillId="2" borderId="22" xfId="1" applyFont="1" applyFill="1" applyBorder="1"/>
    <xf numFmtId="44" fontId="8" fillId="0" borderId="12" xfId="1" applyFont="1" applyBorder="1"/>
    <xf numFmtId="0" fontId="12" fillId="0" borderId="34" xfId="0" applyFont="1" applyBorder="1" applyAlignment="1">
      <alignment horizontal="center" vertical="center" textRotation="255" wrapText="1"/>
    </xf>
    <xf numFmtId="0" fontId="12" fillId="0" borderId="53" xfId="0" applyFont="1" applyBorder="1" applyAlignment="1">
      <alignment horizontal="center" vertical="center" textRotation="255" wrapText="1"/>
    </xf>
    <xf numFmtId="0" fontId="12" fillId="0" borderId="30" xfId="0" applyFont="1" applyBorder="1" applyAlignment="1">
      <alignment horizontal="center" vertical="center" textRotation="255" wrapText="1"/>
    </xf>
    <xf numFmtId="0" fontId="12" fillId="0" borderId="50" xfId="0" applyFont="1" applyBorder="1" applyAlignment="1">
      <alignment horizontal="center" vertical="center" textRotation="255" wrapText="1"/>
    </xf>
    <xf numFmtId="0" fontId="12" fillId="0" borderId="51" xfId="0" applyFont="1" applyBorder="1" applyAlignment="1">
      <alignment horizontal="center" vertical="center" textRotation="255" wrapText="1"/>
    </xf>
    <xf numFmtId="0" fontId="12" fillId="0" borderId="52" xfId="0" applyFont="1" applyBorder="1" applyAlignment="1">
      <alignment horizontal="center" vertical="center" textRotation="255" wrapText="1"/>
    </xf>
    <xf numFmtId="0" fontId="12" fillId="0" borderId="35" xfId="0" applyFont="1" applyBorder="1" applyAlignment="1">
      <alignment horizontal="center" vertical="center" textRotation="255" wrapText="1"/>
    </xf>
    <xf numFmtId="0" fontId="12" fillId="0" borderId="44" xfId="0" applyFont="1" applyBorder="1" applyAlignment="1">
      <alignment horizontal="center" vertical="center" textRotation="255" wrapText="1"/>
    </xf>
    <xf numFmtId="0" fontId="12" fillId="0" borderId="37" xfId="0" applyFont="1" applyBorder="1" applyAlignment="1">
      <alignment horizontal="center" vertical="center" textRotation="255" wrapText="1"/>
    </xf>
    <xf numFmtId="0" fontId="3" fillId="0" borderId="0" xfId="0" applyFont="1" applyFill="1"/>
    <xf numFmtId="44" fontId="0" fillId="0" borderId="6" xfId="1" applyFont="1" applyFill="1" applyBorder="1"/>
    <xf numFmtId="44" fontId="0" fillId="0" borderId="53" xfId="1" applyFont="1" applyFill="1" applyBorder="1"/>
    <xf numFmtId="44" fontId="2" fillId="0" borderId="5" xfId="0" applyNumberFormat="1" applyFont="1" applyFill="1" applyBorder="1"/>
    <xf numFmtId="44" fontId="0" fillId="0" borderId="26" xfId="1" applyFont="1" applyFill="1" applyBorder="1"/>
    <xf numFmtId="44" fontId="0" fillId="0" borderId="32" xfId="1" applyFont="1" applyFill="1" applyBorder="1"/>
    <xf numFmtId="0" fontId="10" fillId="0" borderId="0" xfId="0" applyFont="1" applyFill="1"/>
    <xf numFmtId="0" fontId="7" fillId="0" borderId="23" xfId="0" applyFont="1" applyFill="1" applyBorder="1"/>
    <xf numFmtId="44" fontId="7" fillId="0" borderId="6" xfId="1" applyFont="1" applyFill="1" applyBorder="1"/>
    <xf numFmtId="44" fontId="7" fillId="0" borderId="23" xfId="1" applyFont="1" applyFill="1" applyBorder="1"/>
    <xf numFmtId="44" fontId="7" fillId="0" borderId="26" xfId="1" applyFont="1" applyFill="1" applyBorder="1"/>
    <xf numFmtId="0" fontId="4" fillId="0" borderId="28" xfId="0" applyFont="1" applyFill="1" applyBorder="1"/>
    <xf numFmtId="0" fontId="0" fillId="0" borderId="0" xfId="0" applyFill="1"/>
    <xf numFmtId="0" fontId="7" fillId="0" borderId="24" xfId="0" applyFont="1" applyFill="1" applyBorder="1"/>
    <xf numFmtId="44" fontId="7" fillId="0" borderId="1" xfId="1" applyFont="1" applyFill="1" applyBorder="1"/>
    <xf numFmtId="44" fontId="7" fillId="0" borderId="24" xfId="1" applyFont="1" applyFill="1" applyBorder="1"/>
    <xf numFmtId="0" fontId="4" fillId="0" borderId="2" xfId="0" applyFont="1" applyFill="1" applyBorder="1"/>
    <xf numFmtId="0" fontId="4" fillId="0" borderId="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>
      <selection activeCell="S69" sqref="S69"/>
    </sheetView>
  </sheetViews>
  <sheetFormatPr baseColWidth="10" defaultRowHeight="14.4" x14ac:dyDescent="0.3"/>
  <cols>
    <col min="1" max="1" width="19.6640625" customWidth="1"/>
    <col min="2" max="2" width="6.44140625" customWidth="1"/>
    <col min="3" max="3" width="6" customWidth="1"/>
    <col min="4" max="5" width="5.6640625" customWidth="1"/>
    <col min="6" max="6" width="5.5546875" customWidth="1"/>
    <col min="7" max="8" width="5.88671875" customWidth="1"/>
    <col min="9" max="9" width="5.88671875" style="136" customWidth="1"/>
    <col min="10" max="10" width="6.33203125" customWidth="1"/>
    <col min="11" max="11" width="6.44140625" customWidth="1"/>
    <col min="12" max="12" width="5.88671875" customWidth="1"/>
    <col min="13" max="13" width="6" customWidth="1"/>
    <col min="14" max="14" width="6.33203125" customWidth="1"/>
    <col min="15" max="15" width="6.44140625" customWidth="1"/>
    <col min="16" max="16" width="5.88671875" customWidth="1"/>
    <col min="17" max="17" width="6" customWidth="1"/>
    <col min="18" max="18" width="8.109375" customWidth="1"/>
  </cols>
  <sheetData>
    <row r="1" spans="1:18" ht="18" x14ac:dyDescent="0.35">
      <c r="A1" s="1" t="s">
        <v>166</v>
      </c>
    </row>
    <row r="2" spans="1:18" ht="18.600000000000001" thickBot="1" x14ac:dyDescent="0.4">
      <c r="A2" s="1"/>
      <c r="I2" s="136" t="s">
        <v>167</v>
      </c>
    </row>
    <row r="3" spans="1:18" ht="18.600000000000001" thickBot="1" x14ac:dyDescent="0.4">
      <c r="A3" s="95"/>
      <c r="B3" s="107">
        <v>50</v>
      </c>
      <c r="C3" s="108">
        <v>70</v>
      </c>
      <c r="D3" s="89"/>
      <c r="E3" s="108">
        <v>80</v>
      </c>
      <c r="F3" s="89"/>
      <c r="G3" s="109">
        <v>60</v>
      </c>
      <c r="H3" s="89"/>
      <c r="I3" s="140">
        <v>40</v>
      </c>
      <c r="J3" s="109">
        <v>50</v>
      </c>
      <c r="K3" s="104">
        <v>101</v>
      </c>
      <c r="L3" s="99">
        <v>70</v>
      </c>
      <c r="M3" s="89"/>
      <c r="N3" s="109">
        <v>70</v>
      </c>
      <c r="O3" s="104">
        <v>50</v>
      </c>
      <c r="P3" s="99">
        <v>70</v>
      </c>
      <c r="Q3" s="89"/>
    </row>
    <row r="4" spans="1:18" ht="15" thickBot="1" x14ac:dyDescent="0.35">
      <c r="B4" s="125" t="s">
        <v>85</v>
      </c>
      <c r="C4" s="126" t="s">
        <v>84</v>
      </c>
      <c r="D4" s="129"/>
      <c r="E4" s="126" t="s">
        <v>83</v>
      </c>
      <c r="F4" s="129"/>
      <c r="G4" s="126" t="s">
        <v>85</v>
      </c>
      <c r="H4" s="129"/>
      <c r="I4" s="141" t="s">
        <v>83</v>
      </c>
      <c r="J4" s="126" t="s">
        <v>85</v>
      </c>
      <c r="K4" s="127" t="s">
        <v>83</v>
      </c>
      <c r="L4" s="128" t="s">
        <v>83</v>
      </c>
      <c r="M4" s="129"/>
      <c r="N4" s="126" t="s">
        <v>83</v>
      </c>
      <c r="O4" s="127" t="s">
        <v>85</v>
      </c>
      <c r="P4" s="128" t="s">
        <v>85</v>
      </c>
      <c r="Q4" s="129"/>
    </row>
    <row r="5" spans="1:18" ht="21" thickBot="1" x14ac:dyDescent="0.35">
      <c r="A5" s="8" t="s">
        <v>0</v>
      </c>
      <c r="B5" s="96" t="s">
        <v>149</v>
      </c>
      <c r="C5" s="96" t="s">
        <v>150</v>
      </c>
      <c r="D5" s="130" t="s">
        <v>1</v>
      </c>
      <c r="E5" s="122" t="s">
        <v>151</v>
      </c>
      <c r="F5" s="130" t="s">
        <v>1</v>
      </c>
      <c r="G5" s="98" t="s">
        <v>152</v>
      </c>
      <c r="H5" s="130" t="s">
        <v>1</v>
      </c>
      <c r="I5" s="142" t="s">
        <v>164</v>
      </c>
      <c r="J5" s="137" t="s">
        <v>153</v>
      </c>
      <c r="K5" s="96" t="s">
        <v>154</v>
      </c>
      <c r="L5" s="96" t="s">
        <v>155</v>
      </c>
      <c r="M5" s="130" t="s">
        <v>1</v>
      </c>
      <c r="N5" s="96" t="s">
        <v>156</v>
      </c>
      <c r="O5" s="96" t="s">
        <v>157</v>
      </c>
      <c r="P5" s="96" t="s">
        <v>158</v>
      </c>
      <c r="Q5" s="25" t="s">
        <v>1</v>
      </c>
      <c r="R5" s="33" t="s">
        <v>1</v>
      </c>
    </row>
    <row r="6" spans="1:18" x14ac:dyDescent="0.3">
      <c r="A6" s="100" t="s">
        <v>3</v>
      </c>
      <c r="B6" s="6">
        <v>6</v>
      </c>
      <c r="C6" s="11">
        <v>4</v>
      </c>
      <c r="D6" s="20">
        <f>B6+C6</f>
        <v>10</v>
      </c>
      <c r="E6" s="123">
        <v>10</v>
      </c>
      <c r="F6" s="17">
        <f>SUM(E6)</f>
        <v>10</v>
      </c>
      <c r="G6" s="13">
        <v>6</v>
      </c>
      <c r="H6" s="17">
        <f>SUM(G6)</f>
        <v>6</v>
      </c>
      <c r="I6" s="138"/>
      <c r="J6" s="7">
        <v>6</v>
      </c>
      <c r="K6" s="7"/>
      <c r="L6" s="7">
        <v>8</v>
      </c>
      <c r="M6" s="17">
        <f>SUM(I6:L6)</f>
        <v>14</v>
      </c>
      <c r="N6" s="7"/>
      <c r="O6" s="7">
        <v>6</v>
      </c>
      <c r="P6" s="7">
        <v>6</v>
      </c>
      <c r="Q6" s="20">
        <f>SUM(N6:P6)</f>
        <v>12</v>
      </c>
      <c r="R6" s="143">
        <f>D6+F6+H6+M6+Q6</f>
        <v>52</v>
      </c>
    </row>
    <row r="7" spans="1:18" x14ac:dyDescent="0.3">
      <c r="A7" s="100" t="s">
        <v>88</v>
      </c>
      <c r="B7" s="6"/>
      <c r="C7" s="11"/>
      <c r="D7" s="20">
        <f>B7+C7</f>
        <v>0</v>
      </c>
      <c r="E7" s="123"/>
      <c r="F7" s="17">
        <f t="shared" ref="F7:F71" si="0">SUM(E7)</f>
        <v>0</v>
      </c>
      <c r="G7" s="13"/>
      <c r="H7" s="17">
        <f t="shared" ref="H7:H70" si="1">SUM(G7)</f>
        <v>0</v>
      </c>
      <c r="I7" s="138"/>
      <c r="J7" s="7"/>
      <c r="K7" s="7"/>
      <c r="L7" s="7"/>
      <c r="M7" s="17">
        <f t="shared" ref="M7:M70" si="2">SUM(I7:L7)</f>
        <v>0</v>
      </c>
      <c r="N7" s="7"/>
      <c r="O7" s="7"/>
      <c r="P7" s="7"/>
      <c r="Q7" s="20">
        <f t="shared" ref="Q7:Q70" si="3">SUM(N7:P7)</f>
        <v>0</v>
      </c>
      <c r="R7" s="143">
        <f t="shared" ref="R7:R70" si="4">D7+F7+H7+M7+Q7</f>
        <v>0</v>
      </c>
    </row>
    <row r="8" spans="1:18" x14ac:dyDescent="0.3">
      <c r="A8" s="3" t="s">
        <v>4</v>
      </c>
      <c r="B8" s="4">
        <v>50</v>
      </c>
      <c r="C8" s="12">
        <v>35</v>
      </c>
      <c r="D8" s="20">
        <f t="shared" ref="D8:D77" si="5">B8+C8</f>
        <v>85</v>
      </c>
      <c r="E8" s="123">
        <v>80</v>
      </c>
      <c r="F8" s="17">
        <f t="shared" si="0"/>
        <v>80</v>
      </c>
      <c r="G8" s="14">
        <v>50</v>
      </c>
      <c r="H8" s="17">
        <f t="shared" si="1"/>
        <v>50</v>
      </c>
      <c r="I8" s="138"/>
      <c r="J8" s="5">
        <v>50</v>
      </c>
      <c r="K8" s="5">
        <v>80</v>
      </c>
      <c r="L8" s="5">
        <v>60</v>
      </c>
      <c r="M8" s="17">
        <f t="shared" si="2"/>
        <v>190</v>
      </c>
      <c r="N8" s="5">
        <v>60</v>
      </c>
      <c r="O8" s="5">
        <v>50</v>
      </c>
      <c r="P8" s="5">
        <v>50</v>
      </c>
      <c r="Q8" s="20">
        <f t="shared" si="3"/>
        <v>160</v>
      </c>
      <c r="R8" s="143">
        <f t="shared" si="4"/>
        <v>565</v>
      </c>
    </row>
    <row r="9" spans="1:18" x14ac:dyDescent="0.3">
      <c r="A9" s="101" t="s">
        <v>5</v>
      </c>
      <c r="B9" s="4">
        <v>30</v>
      </c>
      <c r="C9" s="12">
        <v>30</v>
      </c>
      <c r="D9" s="20">
        <f t="shared" si="5"/>
        <v>60</v>
      </c>
      <c r="E9" s="123">
        <v>40</v>
      </c>
      <c r="F9" s="17">
        <f t="shared" si="0"/>
        <v>40</v>
      </c>
      <c r="G9" s="14">
        <v>30</v>
      </c>
      <c r="H9" s="17">
        <f t="shared" si="1"/>
        <v>30</v>
      </c>
      <c r="I9" s="138"/>
      <c r="J9" s="5">
        <v>30</v>
      </c>
      <c r="K9" s="5">
        <v>40</v>
      </c>
      <c r="L9" s="5">
        <v>30</v>
      </c>
      <c r="M9" s="17">
        <f t="shared" si="2"/>
        <v>100</v>
      </c>
      <c r="N9" s="5">
        <v>40</v>
      </c>
      <c r="O9" s="5">
        <v>30</v>
      </c>
      <c r="P9" s="5">
        <v>30</v>
      </c>
      <c r="Q9" s="20">
        <f t="shared" si="3"/>
        <v>100</v>
      </c>
      <c r="R9" s="143">
        <f t="shared" si="4"/>
        <v>330</v>
      </c>
    </row>
    <row r="10" spans="1:18" x14ac:dyDescent="0.3">
      <c r="A10" s="101" t="s">
        <v>64</v>
      </c>
      <c r="B10" s="4"/>
      <c r="C10" s="12">
        <v>2</v>
      </c>
      <c r="D10" s="20">
        <f t="shared" si="5"/>
        <v>2</v>
      </c>
      <c r="E10" s="123">
        <v>0</v>
      </c>
      <c r="F10" s="17">
        <f t="shared" si="0"/>
        <v>0</v>
      </c>
      <c r="G10" s="14"/>
      <c r="H10" s="17">
        <f t="shared" si="1"/>
        <v>0</v>
      </c>
      <c r="I10" s="138"/>
      <c r="J10" s="5"/>
      <c r="K10" s="5"/>
      <c r="L10" s="5"/>
      <c r="M10" s="17">
        <f t="shared" si="2"/>
        <v>0</v>
      </c>
      <c r="N10" s="5"/>
      <c r="O10" s="5"/>
      <c r="P10" s="5"/>
      <c r="Q10" s="20">
        <f t="shared" si="3"/>
        <v>0</v>
      </c>
      <c r="R10" s="143">
        <f t="shared" si="4"/>
        <v>2</v>
      </c>
    </row>
    <row r="11" spans="1:18" x14ac:dyDescent="0.3">
      <c r="A11" s="101" t="s">
        <v>159</v>
      </c>
      <c r="B11" s="4"/>
      <c r="C11" s="12"/>
      <c r="D11" s="20"/>
      <c r="E11" s="123">
        <v>100</v>
      </c>
      <c r="F11" s="17">
        <f t="shared" si="0"/>
        <v>100</v>
      </c>
      <c r="G11" s="14"/>
      <c r="H11" s="17">
        <f t="shared" si="1"/>
        <v>0</v>
      </c>
      <c r="I11" s="138"/>
      <c r="J11" s="5"/>
      <c r="K11" s="5"/>
      <c r="L11" s="5"/>
      <c r="M11" s="17">
        <f t="shared" si="2"/>
        <v>0</v>
      </c>
      <c r="N11" s="5"/>
      <c r="O11" s="5"/>
      <c r="P11" s="5"/>
      <c r="Q11" s="20">
        <f t="shared" si="3"/>
        <v>0</v>
      </c>
      <c r="R11" s="143">
        <f t="shared" si="4"/>
        <v>100</v>
      </c>
    </row>
    <row r="12" spans="1:18" x14ac:dyDescent="0.3">
      <c r="A12" s="3" t="s">
        <v>6</v>
      </c>
      <c r="B12" s="4"/>
      <c r="C12" s="12">
        <v>140</v>
      </c>
      <c r="D12" s="20">
        <f t="shared" si="5"/>
        <v>140</v>
      </c>
      <c r="E12" s="123"/>
      <c r="F12" s="17">
        <f t="shared" si="0"/>
        <v>0</v>
      </c>
      <c r="G12" s="14"/>
      <c r="H12" s="17">
        <f t="shared" si="1"/>
        <v>0</v>
      </c>
      <c r="I12" s="138">
        <v>80</v>
      </c>
      <c r="J12" s="5"/>
      <c r="K12" s="5">
        <v>150</v>
      </c>
      <c r="L12" s="5">
        <v>100</v>
      </c>
      <c r="M12" s="17">
        <f t="shared" si="2"/>
        <v>330</v>
      </c>
      <c r="N12" s="5">
        <v>130</v>
      </c>
      <c r="O12" s="5">
        <v>100</v>
      </c>
      <c r="P12" s="5"/>
      <c r="Q12" s="20">
        <f t="shared" si="3"/>
        <v>230</v>
      </c>
      <c r="R12" s="143">
        <f t="shared" si="4"/>
        <v>700</v>
      </c>
    </row>
    <row r="13" spans="1:18" x14ac:dyDescent="0.3">
      <c r="A13" s="3" t="s">
        <v>116</v>
      </c>
      <c r="B13" s="4"/>
      <c r="C13" s="12"/>
      <c r="D13" s="20">
        <f t="shared" si="5"/>
        <v>0</v>
      </c>
      <c r="E13" s="123"/>
      <c r="F13" s="17">
        <f t="shared" si="0"/>
        <v>0</v>
      </c>
      <c r="G13" s="14"/>
      <c r="H13" s="17">
        <f t="shared" si="1"/>
        <v>0</v>
      </c>
      <c r="I13" s="138"/>
      <c r="J13" s="5"/>
      <c r="K13" s="5"/>
      <c r="L13" s="5"/>
      <c r="M13" s="17">
        <f t="shared" si="2"/>
        <v>0</v>
      </c>
      <c r="N13" s="5"/>
      <c r="O13" s="5"/>
      <c r="P13" s="5"/>
      <c r="Q13" s="20">
        <f t="shared" si="3"/>
        <v>0</v>
      </c>
      <c r="R13" s="143">
        <f t="shared" si="4"/>
        <v>0</v>
      </c>
    </row>
    <row r="14" spans="1:18" x14ac:dyDescent="0.3">
      <c r="A14" s="3" t="s">
        <v>7</v>
      </c>
      <c r="B14" s="4">
        <v>51</v>
      </c>
      <c r="C14" s="12"/>
      <c r="D14" s="20">
        <f t="shared" si="5"/>
        <v>51</v>
      </c>
      <c r="E14" s="123"/>
      <c r="F14" s="17">
        <f t="shared" si="0"/>
        <v>0</v>
      </c>
      <c r="G14" s="14">
        <v>36</v>
      </c>
      <c r="H14" s="17">
        <f t="shared" si="1"/>
        <v>36</v>
      </c>
      <c r="I14" s="138"/>
      <c r="J14" s="5">
        <v>41</v>
      </c>
      <c r="K14" s="5"/>
      <c r="L14" s="5"/>
      <c r="M14" s="17">
        <f t="shared" si="2"/>
        <v>41</v>
      </c>
      <c r="N14" s="5"/>
      <c r="O14" s="5"/>
      <c r="P14" s="5">
        <v>46</v>
      </c>
      <c r="Q14" s="20">
        <f t="shared" si="3"/>
        <v>46</v>
      </c>
      <c r="R14" s="143">
        <f t="shared" si="4"/>
        <v>174</v>
      </c>
    </row>
    <row r="15" spans="1:18" x14ac:dyDescent="0.3">
      <c r="A15" s="3" t="s">
        <v>95</v>
      </c>
      <c r="B15" s="4"/>
      <c r="C15" s="12"/>
      <c r="D15" s="20">
        <f t="shared" si="5"/>
        <v>0</v>
      </c>
      <c r="E15" s="123">
        <v>30</v>
      </c>
      <c r="F15" s="17">
        <f t="shared" si="0"/>
        <v>30</v>
      </c>
      <c r="G15" s="14"/>
      <c r="H15" s="17">
        <f t="shared" si="1"/>
        <v>0</v>
      </c>
      <c r="I15" s="138"/>
      <c r="J15" s="5"/>
      <c r="K15" s="5">
        <v>35</v>
      </c>
      <c r="L15" s="5"/>
      <c r="M15" s="17">
        <f t="shared" si="2"/>
        <v>35</v>
      </c>
      <c r="N15" s="5">
        <v>25</v>
      </c>
      <c r="O15" s="5"/>
      <c r="P15" s="5"/>
      <c r="Q15" s="20">
        <f t="shared" si="3"/>
        <v>25</v>
      </c>
      <c r="R15" s="143">
        <f t="shared" si="4"/>
        <v>90</v>
      </c>
    </row>
    <row r="16" spans="1:18" x14ac:dyDescent="0.3">
      <c r="A16" s="3" t="s">
        <v>8</v>
      </c>
      <c r="B16" s="4">
        <v>25</v>
      </c>
      <c r="C16" s="12"/>
      <c r="D16" s="20">
        <f t="shared" si="5"/>
        <v>25</v>
      </c>
      <c r="E16" s="123">
        <v>270</v>
      </c>
      <c r="F16" s="17">
        <f t="shared" si="0"/>
        <v>270</v>
      </c>
      <c r="G16" s="14">
        <v>160</v>
      </c>
      <c r="H16" s="17">
        <f t="shared" si="1"/>
        <v>160</v>
      </c>
      <c r="I16" s="138"/>
      <c r="J16" s="5">
        <v>100</v>
      </c>
      <c r="K16" s="5">
        <v>330</v>
      </c>
      <c r="L16" s="5"/>
      <c r="M16" s="17">
        <f t="shared" si="2"/>
        <v>430</v>
      </c>
      <c r="N16" s="5">
        <v>240</v>
      </c>
      <c r="O16" s="5"/>
      <c r="P16" s="5">
        <v>150</v>
      </c>
      <c r="Q16" s="20">
        <f t="shared" si="3"/>
        <v>390</v>
      </c>
      <c r="R16" s="143">
        <f t="shared" si="4"/>
        <v>1275</v>
      </c>
    </row>
    <row r="17" spans="1:18" x14ac:dyDescent="0.3">
      <c r="A17" s="3" t="s">
        <v>9</v>
      </c>
      <c r="B17" s="4"/>
      <c r="C17" s="12">
        <v>50</v>
      </c>
      <c r="D17" s="20">
        <f t="shared" si="5"/>
        <v>50</v>
      </c>
      <c r="E17" s="123"/>
      <c r="F17" s="17">
        <f t="shared" si="0"/>
        <v>0</v>
      </c>
      <c r="G17" s="14"/>
      <c r="H17" s="17">
        <f t="shared" si="1"/>
        <v>0</v>
      </c>
      <c r="I17" s="138"/>
      <c r="J17" s="5"/>
      <c r="K17" s="5">
        <v>100</v>
      </c>
      <c r="L17" s="5">
        <v>90</v>
      </c>
      <c r="M17" s="17">
        <f t="shared" si="2"/>
        <v>190</v>
      </c>
      <c r="N17" s="5"/>
      <c r="O17" s="5">
        <v>80</v>
      </c>
      <c r="P17" s="5"/>
      <c r="Q17" s="20">
        <f t="shared" si="3"/>
        <v>80</v>
      </c>
      <c r="R17" s="143">
        <f t="shared" si="4"/>
        <v>320</v>
      </c>
    </row>
    <row r="18" spans="1:18" x14ac:dyDescent="0.3">
      <c r="A18" s="3" t="s">
        <v>87</v>
      </c>
      <c r="B18" s="4"/>
      <c r="C18" s="12"/>
      <c r="D18" s="20">
        <f t="shared" si="5"/>
        <v>0</v>
      </c>
      <c r="E18" s="123"/>
      <c r="F18" s="17">
        <f t="shared" si="0"/>
        <v>0</v>
      </c>
      <c r="G18" s="14"/>
      <c r="H18" s="17">
        <f t="shared" si="1"/>
        <v>0</v>
      </c>
      <c r="I18" s="138"/>
      <c r="J18" s="5"/>
      <c r="K18" s="5"/>
      <c r="L18" s="5"/>
      <c r="M18" s="17">
        <f t="shared" si="2"/>
        <v>0</v>
      </c>
      <c r="N18" s="5">
        <v>120</v>
      </c>
      <c r="O18" s="5"/>
      <c r="P18" s="5"/>
      <c r="Q18" s="20">
        <f t="shared" si="3"/>
        <v>120</v>
      </c>
      <c r="R18" s="143">
        <f t="shared" si="4"/>
        <v>120</v>
      </c>
    </row>
    <row r="19" spans="1:18" x14ac:dyDescent="0.3">
      <c r="A19" s="3" t="s">
        <v>89</v>
      </c>
      <c r="B19" s="4"/>
      <c r="C19" s="12"/>
      <c r="D19" s="20"/>
      <c r="E19" s="123"/>
      <c r="F19" s="17">
        <f t="shared" si="0"/>
        <v>0</v>
      </c>
      <c r="G19" s="14"/>
      <c r="H19" s="17">
        <f t="shared" si="1"/>
        <v>0</v>
      </c>
      <c r="I19" s="138"/>
      <c r="J19" s="5"/>
      <c r="K19" s="5"/>
      <c r="L19" s="5"/>
      <c r="M19" s="17">
        <f t="shared" si="2"/>
        <v>0</v>
      </c>
      <c r="N19" s="5"/>
      <c r="O19" s="5"/>
      <c r="P19" s="5"/>
      <c r="Q19" s="20">
        <f t="shared" si="3"/>
        <v>0</v>
      </c>
      <c r="R19" s="143">
        <f t="shared" si="4"/>
        <v>0</v>
      </c>
    </row>
    <row r="20" spans="1:18" x14ac:dyDescent="0.3">
      <c r="A20" s="3" t="s">
        <v>90</v>
      </c>
      <c r="B20" s="4"/>
      <c r="C20" s="12"/>
      <c r="D20" s="20"/>
      <c r="E20" s="123"/>
      <c r="F20" s="17">
        <f t="shared" si="0"/>
        <v>0</v>
      </c>
      <c r="G20" s="14"/>
      <c r="H20" s="17">
        <f t="shared" si="1"/>
        <v>0</v>
      </c>
      <c r="I20" s="138"/>
      <c r="J20" s="5"/>
      <c r="K20" s="5"/>
      <c r="L20" s="5"/>
      <c r="M20" s="17">
        <f t="shared" si="2"/>
        <v>0</v>
      </c>
      <c r="N20" s="5"/>
      <c r="O20" s="5"/>
      <c r="P20" s="5"/>
      <c r="Q20" s="20">
        <f t="shared" si="3"/>
        <v>0</v>
      </c>
      <c r="R20" s="143">
        <f t="shared" si="4"/>
        <v>0</v>
      </c>
    </row>
    <row r="21" spans="1:18" x14ac:dyDescent="0.3">
      <c r="A21" s="3" t="s">
        <v>10</v>
      </c>
      <c r="B21" s="4"/>
      <c r="C21" s="12"/>
      <c r="D21" s="20">
        <f t="shared" si="5"/>
        <v>0</v>
      </c>
      <c r="E21" s="123"/>
      <c r="F21" s="17">
        <f t="shared" si="0"/>
        <v>0</v>
      </c>
      <c r="G21" s="14"/>
      <c r="H21" s="17">
        <f t="shared" si="1"/>
        <v>0</v>
      </c>
      <c r="I21" s="138"/>
      <c r="J21" s="5"/>
      <c r="K21" s="5"/>
      <c r="L21" s="5"/>
      <c r="M21" s="17">
        <f t="shared" si="2"/>
        <v>0</v>
      </c>
      <c r="N21" s="5"/>
      <c r="O21" s="5"/>
      <c r="P21" s="5"/>
      <c r="Q21" s="20">
        <f t="shared" si="3"/>
        <v>0</v>
      </c>
      <c r="R21" s="143">
        <f t="shared" si="4"/>
        <v>0</v>
      </c>
    </row>
    <row r="22" spans="1:18" x14ac:dyDescent="0.3">
      <c r="A22" s="3" t="s">
        <v>94</v>
      </c>
      <c r="B22" s="4"/>
      <c r="C22" s="12"/>
      <c r="D22" s="20"/>
      <c r="E22" s="123"/>
      <c r="F22" s="17">
        <f t="shared" si="0"/>
        <v>0</v>
      </c>
      <c r="G22" s="14"/>
      <c r="H22" s="17">
        <f t="shared" si="1"/>
        <v>0</v>
      </c>
      <c r="I22" s="138"/>
      <c r="J22" s="5"/>
      <c r="K22" s="5"/>
      <c r="L22" s="5"/>
      <c r="M22" s="17">
        <f t="shared" si="2"/>
        <v>0</v>
      </c>
      <c r="N22" s="5"/>
      <c r="O22" s="5"/>
      <c r="P22" s="5"/>
      <c r="Q22" s="20">
        <f t="shared" si="3"/>
        <v>0</v>
      </c>
      <c r="R22" s="143">
        <f t="shared" si="4"/>
        <v>0</v>
      </c>
    </row>
    <row r="23" spans="1:18" x14ac:dyDescent="0.3">
      <c r="A23" s="3" t="s">
        <v>60</v>
      </c>
      <c r="B23" s="4"/>
      <c r="C23" s="12"/>
      <c r="D23" s="20">
        <f t="shared" si="5"/>
        <v>0</v>
      </c>
      <c r="E23" s="123"/>
      <c r="F23" s="17">
        <f t="shared" si="0"/>
        <v>0</v>
      </c>
      <c r="G23" s="14"/>
      <c r="H23" s="17">
        <f t="shared" si="1"/>
        <v>0</v>
      </c>
      <c r="I23" s="138"/>
      <c r="J23" s="5"/>
      <c r="K23" s="5"/>
      <c r="L23" s="5"/>
      <c r="M23" s="17">
        <f t="shared" si="2"/>
        <v>0</v>
      </c>
      <c r="N23" s="5"/>
      <c r="O23" s="5"/>
      <c r="P23" s="5"/>
      <c r="Q23" s="20">
        <f t="shared" si="3"/>
        <v>0</v>
      </c>
      <c r="R23" s="143">
        <f t="shared" si="4"/>
        <v>0</v>
      </c>
    </row>
    <row r="24" spans="1:18" x14ac:dyDescent="0.3">
      <c r="A24" s="3" t="s">
        <v>11</v>
      </c>
      <c r="B24" s="4">
        <v>80</v>
      </c>
      <c r="C24" s="12"/>
      <c r="D24" s="20">
        <f t="shared" si="5"/>
        <v>80</v>
      </c>
      <c r="E24" s="123"/>
      <c r="F24" s="17">
        <f t="shared" si="0"/>
        <v>0</v>
      </c>
      <c r="G24" s="14">
        <v>80</v>
      </c>
      <c r="H24" s="17">
        <f t="shared" si="1"/>
        <v>80</v>
      </c>
      <c r="I24" s="138"/>
      <c r="J24" s="5">
        <v>80</v>
      </c>
      <c r="K24" s="5"/>
      <c r="L24" s="5"/>
      <c r="M24" s="17">
        <f t="shared" si="2"/>
        <v>80</v>
      </c>
      <c r="N24" s="5">
        <v>90</v>
      </c>
      <c r="O24" s="5"/>
      <c r="P24" s="5">
        <v>90</v>
      </c>
      <c r="Q24" s="20">
        <f t="shared" si="3"/>
        <v>180</v>
      </c>
      <c r="R24" s="143">
        <f t="shared" si="4"/>
        <v>420</v>
      </c>
    </row>
    <row r="25" spans="1:18" x14ac:dyDescent="0.3">
      <c r="A25" s="3" t="s">
        <v>68</v>
      </c>
      <c r="B25" s="4"/>
      <c r="C25" s="12"/>
      <c r="D25" s="20">
        <f t="shared" si="5"/>
        <v>0</v>
      </c>
      <c r="E25" s="123"/>
      <c r="F25" s="17">
        <f t="shared" si="0"/>
        <v>0</v>
      </c>
      <c r="G25" s="14"/>
      <c r="H25" s="17">
        <f t="shared" si="1"/>
        <v>0</v>
      </c>
      <c r="I25" s="138"/>
      <c r="J25" s="5"/>
      <c r="K25" s="5"/>
      <c r="L25" s="5"/>
      <c r="M25" s="17">
        <f t="shared" si="2"/>
        <v>0</v>
      </c>
      <c r="N25" s="5"/>
      <c r="O25" s="5"/>
      <c r="P25" s="5"/>
      <c r="Q25" s="20">
        <f t="shared" si="3"/>
        <v>0</v>
      </c>
      <c r="R25" s="143">
        <f t="shared" si="4"/>
        <v>0</v>
      </c>
    </row>
    <row r="26" spans="1:18" x14ac:dyDescent="0.3">
      <c r="A26" s="3" t="s">
        <v>160</v>
      </c>
      <c r="B26" s="4"/>
      <c r="C26" s="12"/>
      <c r="D26" s="20"/>
      <c r="E26" s="123">
        <v>90</v>
      </c>
      <c r="F26" s="17"/>
      <c r="G26" s="14"/>
      <c r="H26" s="17">
        <f t="shared" si="1"/>
        <v>0</v>
      </c>
      <c r="I26" s="138"/>
      <c r="J26" s="5"/>
      <c r="K26" s="5"/>
      <c r="L26" s="5">
        <v>90</v>
      </c>
      <c r="M26" s="17">
        <f t="shared" si="2"/>
        <v>90</v>
      </c>
      <c r="N26" s="5"/>
      <c r="O26" s="5"/>
      <c r="P26" s="5"/>
      <c r="Q26" s="20">
        <f t="shared" si="3"/>
        <v>0</v>
      </c>
      <c r="R26" s="143">
        <f t="shared" si="4"/>
        <v>90</v>
      </c>
    </row>
    <row r="27" spans="1:18" x14ac:dyDescent="0.3">
      <c r="A27" s="3" t="s">
        <v>162</v>
      </c>
      <c r="B27" s="4"/>
      <c r="C27" s="12"/>
      <c r="D27" s="20"/>
      <c r="E27" s="123"/>
      <c r="F27" s="17"/>
      <c r="G27" s="14"/>
      <c r="H27" s="17">
        <f t="shared" si="1"/>
        <v>0</v>
      </c>
      <c r="I27" s="138"/>
      <c r="J27" s="5"/>
      <c r="K27" s="5"/>
      <c r="L27" s="5"/>
      <c r="M27" s="17">
        <f t="shared" si="2"/>
        <v>0</v>
      </c>
      <c r="N27" s="5"/>
      <c r="O27" s="5"/>
      <c r="P27" s="5"/>
      <c r="Q27" s="20">
        <f t="shared" si="3"/>
        <v>0</v>
      </c>
      <c r="R27" s="143">
        <f t="shared" si="4"/>
        <v>0</v>
      </c>
    </row>
    <row r="28" spans="1:18" x14ac:dyDescent="0.3">
      <c r="A28" s="3" t="s">
        <v>163</v>
      </c>
      <c r="B28" s="4">
        <v>70</v>
      </c>
      <c r="C28" s="12">
        <v>50</v>
      </c>
      <c r="D28" s="20"/>
      <c r="E28" s="123"/>
      <c r="F28" s="17"/>
      <c r="G28" s="14">
        <v>70</v>
      </c>
      <c r="H28" s="17">
        <f t="shared" si="1"/>
        <v>70</v>
      </c>
      <c r="I28" s="138"/>
      <c r="J28" s="5">
        <v>70</v>
      </c>
      <c r="K28" s="5"/>
      <c r="L28" s="5"/>
      <c r="M28" s="17">
        <f t="shared" si="2"/>
        <v>70</v>
      </c>
      <c r="N28" s="5"/>
      <c r="O28" s="5">
        <v>80</v>
      </c>
      <c r="P28" s="5">
        <v>90</v>
      </c>
      <c r="Q28" s="20">
        <f t="shared" si="3"/>
        <v>170</v>
      </c>
      <c r="R28" s="143">
        <f t="shared" si="4"/>
        <v>310</v>
      </c>
    </row>
    <row r="29" spans="1:18" x14ac:dyDescent="0.3">
      <c r="A29" s="3" t="s">
        <v>12</v>
      </c>
      <c r="B29" s="4"/>
      <c r="C29" s="12"/>
      <c r="D29" s="20">
        <f t="shared" si="5"/>
        <v>0</v>
      </c>
      <c r="E29" s="123">
        <v>40</v>
      </c>
      <c r="F29" s="17">
        <f t="shared" si="0"/>
        <v>40</v>
      </c>
      <c r="G29" s="14"/>
      <c r="H29" s="17">
        <f t="shared" si="1"/>
        <v>0</v>
      </c>
      <c r="I29" s="138"/>
      <c r="J29" s="5"/>
      <c r="K29" s="5"/>
      <c r="L29" s="5"/>
      <c r="M29" s="17">
        <f t="shared" si="2"/>
        <v>0</v>
      </c>
      <c r="N29" s="5"/>
      <c r="O29" s="5"/>
      <c r="P29" s="5"/>
      <c r="Q29" s="20">
        <f t="shared" si="3"/>
        <v>0</v>
      </c>
      <c r="R29" s="143">
        <f t="shared" si="4"/>
        <v>40</v>
      </c>
    </row>
    <row r="30" spans="1:18" x14ac:dyDescent="0.3">
      <c r="A30" s="3" t="s">
        <v>63</v>
      </c>
      <c r="B30" s="4"/>
      <c r="C30" s="12"/>
      <c r="D30" s="20">
        <f t="shared" si="5"/>
        <v>0</v>
      </c>
      <c r="E30" s="123"/>
      <c r="F30" s="17">
        <f t="shared" si="0"/>
        <v>0</v>
      </c>
      <c r="G30" s="14"/>
      <c r="H30" s="17">
        <f t="shared" si="1"/>
        <v>0</v>
      </c>
      <c r="I30" s="138"/>
      <c r="J30" s="5"/>
      <c r="K30" s="5"/>
      <c r="L30" s="5"/>
      <c r="M30" s="17">
        <f t="shared" si="2"/>
        <v>0</v>
      </c>
      <c r="N30" s="5"/>
      <c r="O30" s="5"/>
      <c r="P30" s="5"/>
      <c r="Q30" s="20">
        <f t="shared" si="3"/>
        <v>0</v>
      </c>
      <c r="R30" s="143">
        <f t="shared" si="4"/>
        <v>0</v>
      </c>
    </row>
    <row r="31" spans="1:18" x14ac:dyDescent="0.3">
      <c r="A31" s="3" t="s">
        <v>86</v>
      </c>
      <c r="B31" s="4"/>
      <c r="C31" s="12"/>
      <c r="D31" s="20">
        <f t="shared" si="5"/>
        <v>0</v>
      </c>
      <c r="E31" s="123">
        <v>1</v>
      </c>
      <c r="F31" s="17">
        <f t="shared" si="0"/>
        <v>1</v>
      </c>
      <c r="G31" s="14"/>
      <c r="H31" s="17">
        <f t="shared" si="1"/>
        <v>0</v>
      </c>
      <c r="I31" s="138"/>
      <c r="J31" s="5"/>
      <c r="K31" s="5"/>
      <c r="L31" s="5"/>
      <c r="M31" s="17">
        <f t="shared" si="2"/>
        <v>0</v>
      </c>
      <c r="N31" s="5"/>
      <c r="O31" s="5"/>
      <c r="P31" s="5"/>
      <c r="Q31" s="20">
        <f t="shared" si="3"/>
        <v>0</v>
      </c>
      <c r="R31" s="143">
        <f t="shared" si="4"/>
        <v>1</v>
      </c>
    </row>
    <row r="32" spans="1:18" x14ac:dyDescent="0.3">
      <c r="A32" s="3" t="s">
        <v>13</v>
      </c>
      <c r="B32" s="4"/>
      <c r="C32" s="12"/>
      <c r="D32" s="20">
        <f t="shared" si="5"/>
        <v>0</v>
      </c>
      <c r="E32" s="123">
        <v>100</v>
      </c>
      <c r="F32" s="17">
        <f t="shared" si="0"/>
        <v>100</v>
      </c>
      <c r="G32" s="14"/>
      <c r="H32" s="17">
        <f t="shared" si="1"/>
        <v>0</v>
      </c>
      <c r="I32" s="138"/>
      <c r="J32" s="5"/>
      <c r="K32" s="5">
        <v>130</v>
      </c>
      <c r="L32" s="5"/>
      <c r="M32" s="17">
        <f t="shared" si="2"/>
        <v>130</v>
      </c>
      <c r="N32" s="5">
        <v>120</v>
      </c>
      <c r="O32" s="5"/>
      <c r="P32" s="5"/>
      <c r="Q32" s="20">
        <f t="shared" si="3"/>
        <v>120</v>
      </c>
      <c r="R32" s="143">
        <f t="shared" si="4"/>
        <v>350</v>
      </c>
    </row>
    <row r="33" spans="1:18" x14ac:dyDescent="0.3">
      <c r="A33" s="103" t="s">
        <v>117</v>
      </c>
      <c r="B33" s="4"/>
      <c r="C33" s="12"/>
      <c r="D33" s="20">
        <f t="shared" si="5"/>
        <v>0</v>
      </c>
      <c r="E33" s="123">
        <v>100</v>
      </c>
      <c r="F33" s="17">
        <f t="shared" si="0"/>
        <v>100</v>
      </c>
      <c r="G33" s="14"/>
      <c r="H33" s="17">
        <f t="shared" si="1"/>
        <v>0</v>
      </c>
      <c r="I33" s="138"/>
      <c r="J33" s="5"/>
      <c r="K33" s="5"/>
      <c r="L33" s="5"/>
      <c r="M33" s="17">
        <f t="shared" si="2"/>
        <v>0</v>
      </c>
      <c r="N33" s="5"/>
      <c r="O33" s="5"/>
      <c r="P33" s="5"/>
      <c r="Q33" s="20">
        <f t="shared" si="3"/>
        <v>0</v>
      </c>
      <c r="R33" s="143">
        <f t="shared" si="4"/>
        <v>100</v>
      </c>
    </row>
    <row r="34" spans="1:18" x14ac:dyDescent="0.3">
      <c r="A34" s="3" t="s">
        <v>72</v>
      </c>
      <c r="B34" s="4"/>
      <c r="C34" s="12"/>
      <c r="D34" s="20">
        <f t="shared" si="5"/>
        <v>0</v>
      </c>
      <c r="E34" s="123"/>
      <c r="F34" s="17">
        <f t="shared" si="0"/>
        <v>0</v>
      </c>
      <c r="G34" s="14"/>
      <c r="H34" s="17">
        <f t="shared" si="1"/>
        <v>0</v>
      </c>
      <c r="I34" s="138"/>
      <c r="J34" s="5"/>
      <c r="K34" s="5">
        <v>130</v>
      </c>
      <c r="L34" s="5"/>
      <c r="M34" s="17">
        <f t="shared" si="2"/>
        <v>130</v>
      </c>
      <c r="N34" s="5"/>
      <c r="O34" s="5"/>
      <c r="P34" s="5"/>
      <c r="Q34" s="20">
        <f t="shared" si="3"/>
        <v>0</v>
      </c>
      <c r="R34" s="143">
        <f t="shared" si="4"/>
        <v>130</v>
      </c>
    </row>
    <row r="35" spans="1:18" x14ac:dyDescent="0.3">
      <c r="A35" s="3" t="s">
        <v>161</v>
      </c>
      <c r="B35" s="4"/>
      <c r="C35" s="12"/>
      <c r="D35" s="20"/>
      <c r="E35" s="123">
        <v>100</v>
      </c>
      <c r="F35" s="17"/>
      <c r="G35" s="14"/>
      <c r="H35" s="17">
        <f t="shared" si="1"/>
        <v>0</v>
      </c>
      <c r="I35" s="138"/>
      <c r="J35" s="5"/>
      <c r="K35" s="5"/>
      <c r="L35" s="5"/>
      <c r="M35" s="17">
        <f t="shared" si="2"/>
        <v>0</v>
      </c>
      <c r="N35" s="5"/>
      <c r="O35" s="5"/>
      <c r="P35" s="5"/>
      <c r="Q35" s="20">
        <f t="shared" si="3"/>
        <v>0</v>
      </c>
      <c r="R35" s="143">
        <f t="shared" si="4"/>
        <v>0</v>
      </c>
    </row>
    <row r="36" spans="1:18" x14ac:dyDescent="0.3">
      <c r="A36" s="3" t="s">
        <v>14</v>
      </c>
      <c r="B36" s="4">
        <v>100</v>
      </c>
      <c r="C36" s="12"/>
      <c r="D36" s="20">
        <f t="shared" si="5"/>
        <v>100</v>
      </c>
      <c r="E36" s="123">
        <v>120</v>
      </c>
      <c r="F36" s="17">
        <f t="shared" si="0"/>
        <v>120</v>
      </c>
      <c r="G36" s="14">
        <v>100</v>
      </c>
      <c r="H36" s="17">
        <f t="shared" si="1"/>
        <v>100</v>
      </c>
      <c r="I36" s="138"/>
      <c r="J36" s="5">
        <v>100</v>
      </c>
      <c r="K36" s="5">
        <v>160</v>
      </c>
      <c r="L36" s="5"/>
      <c r="M36" s="17">
        <f t="shared" si="2"/>
        <v>260</v>
      </c>
      <c r="N36" s="5"/>
      <c r="O36" s="5">
        <v>100</v>
      </c>
      <c r="P36" s="5">
        <v>120</v>
      </c>
      <c r="Q36" s="20">
        <f t="shared" si="3"/>
        <v>220</v>
      </c>
      <c r="R36" s="143">
        <f t="shared" si="4"/>
        <v>800</v>
      </c>
    </row>
    <row r="37" spans="1:18" x14ac:dyDescent="0.3">
      <c r="A37" s="3" t="s">
        <v>57</v>
      </c>
      <c r="B37" s="4"/>
      <c r="C37" s="12"/>
      <c r="D37" s="20">
        <f t="shared" si="5"/>
        <v>0</v>
      </c>
      <c r="E37" s="123"/>
      <c r="F37" s="17">
        <f t="shared" si="0"/>
        <v>0</v>
      </c>
      <c r="G37" s="14"/>
      <c r="H37" s="17">
        <f t="shared" si="1"/>
        <v>0</v>
      </c>
      <c r="I37" s="138"/>
      <c r="J37" s="5"/>
      <c r="K37" s="5"/>
      <c r="L37" s="5"/>
      <c r="M37" s="17">
        <f t="shared" si="2"/>
        <v>0</v>
      </c>
      <c r="N37" s="5">
        <v>100</v>
      </c>
      <c r="O37" s="5">
        <v>100</v>
      </c>
      <c r="P37" s="5"/>
      <c r="Q37" s="17">
        <f t="shared" si="3"/>
        <v>200</v>
      </c>
      <c r="R37" s="143">
        <f t="shared" si="4"/>
        <v>200</v>
      </c>
    </row>
    <row r="38" spans="1:18" x14ac:dyDescent="0.3">
      <c r="A38" s="3" t="s">
        <v>15</v>
      </c>
      <c r="B38" s="4"/>
      <c r="C38" s="12"/>
      <c r="D38" s="20">
        <f t="shared" si="5"/>
        <v>0</v>
      </c>
      <c r="E38" s="123"/>
      <c r="F38" s="17">
        <f t="shared" si="0"/>
        <v>0</v>
      </c>
      <c r="G38" s="14"/>
      <c r="H38" s="17">
        <f t="shared" si="1"/>
        <v>0</v>
      </c>
      <c r="I38" s="138"/>
      <c r="J38" s="5"/>
      <c r="K38" s="5">
        <v>70</v>
      </c>
      <c r="L38" s="5"/>
      <c r="M38" s="17">
        <f t="shared" si="2"/>
        <v>70</v>
      </c>
      <c r="N38" s="5">
        <v>45</v>
      </c>
      <c r="O38" s="5">
        <v>50</v>
      </c>
      <c r="P38" s="5"/>
      <c r="Q38" s="17">
        <f t="shared" si="3"/>
        <v>95</v>
      </c>
      <c r="R38" s="143">
        <f t="shared" si="4"/>
        <v>165</v>
      </c>
    </row>
    <row r="39" spans="1:18" x14ac:dyDescent="0.3">
      <c r="A39" s="3" t="s">
        <v>16</v>
      </c>
      <c r="B39" s="4"/>
      <c r="C39" s="12"/>
      <c r="D39" s="20">
        <f t="shared" si="5"/>
        <v>0</v>
      </c>
      <c r="E39" s="123">
        <v>400</v>
      </c>
      <c r="F39" s="17">
        <f t="shared" si="0"/>
        <v>400</v>
      </c>
      <c r="G39" s="14"/>
      <c r="H39" s="17">
        <f t="shared" si="1"/>
        <v>0</v>
      </c>
      <c r="I39" s="138"/>
      <c r="J39" s="5"/>
      <c r="K39" s="5">
        <v>580</v>
      </c>
      <c r="L39" s="5"/>
      <c r="M39" s="17">
        <f t="shared" si="2"/>
        <v>580</v>
      </c>
      <c r="N39" s="5">
        <v>400</v>
      </c>
      <c r="O39" s="5">
        <v>400</v>
      </c>
      <c r="P39" s="5"/>
      <c r="Q39" s="17">
        <f t="shared" si="3"/>
        <v>800</v>
      </c>
      <c r="R39" s="143">
        <f t="shared" si="4"/>
        <v>1780</v>
      </c>
    </row>
    <row r="40" spans="1:18" x14ac:dyDescent="0.3">
      <c r="A40" s="3" t="s">
        <v>66</v>
      </c>
      <c r="B40" s="4"/>
      <c r="C40" s="12"/>
      <c r="D40" s="20">
        <f t="shared" si="5"/>
        <v>0</v>
      </c>
      <c r="E40" s="123">
        <v>50</v>
      </c>
      <c r="F40" s="17">
        <f t="shared" si="0"/>
        <v>50</v>
      </c>
      <c r="G40" s="14"/>
      <c r="H40" s="17">
        <f t="shared" si="1"/>
        <v>0</v>
      </c>
      <c r="I40" s="138"/>
      <c r="J40" s="5"/>
      <c r="K40" s="5"/>
      <c r="L40" s="5"/>
      <c r="M40" s="17">
        <f t="shared" si="2"/>
        <v>0</v>
      </c>
      <c r="N40" s="5"/>
      <c r="O40" s="5"/>
      <c r="P40" s="5"/>
      <c r="Q40" s="17">
        <f t="shared" si="3"/>
        <v>0</v>
      </c>
      <c r="R40" s="143">
        <f t="shared" si="4"/>
        <v>50</v>
      </c>
    </row>
    <row r="41" spans="1:18" x14ac:dyDescent="0.3">
      <c r="A41" s="3" t="s">
        <v>70</v>
      </c>
      <c r="B41" s="4">
        <v>51</v>
      </c>
      <c r="C41" s="12"/>
      <c r="D41" s="20">
        <f t="shared" si="5"/>
        <v>51</v>
      </c>
      <c r="E41" s="123"/>
      <c r="F41" s="17">
        <f t="shared" si="0"/>
        <v>0</v>
      </c>
      <c r="G41" s="14">
        <v>36</v>
      </c>
      <c r="H41" s="17">
        <f t="shared" si="1"/>
        <v>36</v>
      </c>
      <c r="I41" s="138"/>
      <c r="J41" s="5">
        <v>41</v>
      </c>
      <c r="K41" s="5"/>
      <c r="L41" s="5"/>
      <c r="M41" s="17">
        <f t="shared" si="2"/>
        <v>41</v>
      </c>
      <c r="N41" s="5"/>
      <c r="O41" s="5"/>
      <c r="P41" s="5">
        <v>46</v>
      </c>
      <c r="Q41" s="17">
        <f t="shared" si="3"/>
        <v>46</v>
      </c>
      <c r="R41" s="143">
        <f t="shared" si="4"/>
        <v>174</v>
      </c>
    </row>
    <row r="42" spans="1:18" x14ac:dyDescent="0.3">
      <c r="A42" s="3" t="s">
        <v>98</v>
      </c>
      <c r="B42" s="4"/>
      <c r="C42" s="12"/>
      <c r="D42" s="20"/>
      <c r="E42" s="123"/>
      <c r="F42" s="17">
        <f t="shared" si="0"/>
        <v>0</v>
      </c>
      <c r="G42" s="14"/>
      <c r="H42" s="17">
        <f t="shared" si="1"/>
        <v>0</v>
      </c>
      <c r="I42" s="138"/>
      <c r="J42" s="5"/>
      <c r="K42" s="5"/>
      <c r="L42" s="5"/>
      <c r="M42" s="17">
        <f t="shared" si="2"/>
        <v>0</v>
      </c>
      <c r="N42" s="5"/>
      <c r="O42" s="5"/>
      <c r="P42" s="5"/>
      <c r="Q42" s="17">
        <f t="shared" si="3"/>
        <v>0</v>
      </c>
      <c r="R42" s="143">
        <f t="shared" si="4"/>
        <v>0</v>
      </c>
    </row>
    <row r="43" spans="1:18" x14ac:dyDescent="0.3">
      <c r="A43" s="3" t="s">
        <v>71</v>
      </c>
      <c r="B43" s="4"/>
      <c r="C43" s="12"/>
      <c r="D43" s="20">
        <f t="shared" si="5"/>
        <v>0</v>
      </c>
      <c r="E43" s="123"/>
      <c r="F43" s="17">
        <f t="shared" si="0"/>
        <v>0</v>
      </c>
      <c r="G43" s="14"/>
      <c r="H43" s="17">
        <f t="shared" si="1"/>
        <v>0</v>
      </c>
      <c r="I43" s="138"/>
      <c r="J43" s="5"/>
      <c r="K43" s="5"/>
      <c r="L43" s="5"/>
      <c r="M43" s="17">
        <f t="shared" si="2"/>
        <v>0</v>
      </c>
      <c r="N43" s="5"/>
      <c r="O43" s="5"/>
      <c r="P43" s="5"/>
      <c r="Q43" s="17">
        <f t="shared" si="3"/>
        <v>0</v>
      </c>
      <c r="R43" s="143">
        <f t="shared" si="4"/>
        <v>0</v>
      </c>
    </row>
    <row r="44" spans="1:18" x14ac:dyDescent="0.3">
      <c r="A44" s="3" t="s">
        <v>17</v>
      </c>
      <c r="B44" s="4"/>
      <c r="C44" s="12"/>
      <c r="D44" s="20">
        <f t="shared" si="5"/>
        <v>0</v>
      </c>
      <c r="E44" s="123">
        <v>1</v>
      </c>
      <c r="F44" s="17">
        <f t="shared" si="0"/>
        <v>1</v>
      </c>
      <c r="G44" s="14"/>
      <c r="H44" s="17">
        <f t="shared" si="1"/>
        <v>0</v>
      </c>
      <c r="I44" s="138"/>
      <c r="J44" s="5"/>
      <c r="K44" s="5">
        <v>1</v>
      </c>
      <c r="L44" s="5"/>
      <c r="M44" s="17">
        <f t="shared" si="2"/>
        <v>1</v>
      </c>
      <c r="N44" s="5">
        <v>1</v>
      </c>
      <c r="O44" s="5"/>
      <c r="P44" s="5"/>
      <c r="Q44" s="17">
        <f t="shared" si="3"/>
        <v>1</v>
      </c>
      <c r="R44" s="143">
        <f t="shared" si="4"/>
        <v>3</v>
      </c>
    </row>
    <row r="45" spans="1:18" x14ac:dyDescent="0.3">
      <c r="A45" s="3" t="s">
        <v>59</v>
      </c>
      <c r="B45" s="4">
        <v>1</v>
      </c>
      <c r="C45" s="12">
        <v>1</v>
      </c>
      <c r="D45" s="20">
        <f t="shared" si="5"/>
        <v>2</v>
      </c>
      <c r="E45" s="123"/>
      <c r="F45" s="17">
        <f t="shared" si="0"/>
        <v>0</v>
      </c>
      <c r="G45" s="14"/>
      <c r="H45" s="17">
        <f t="shared" si="1"/>
        <v>0</v>
      </c>
      <c r="I45" s="138"/>
      <c r="J45" s="5">
        <v>1</v>
      </c>
      <c r="K45" s="5"/>
      <c r="L45" s="5"/>
      <c r="M45" s="17">
        <f t="shared" si="2"/>
        <v>1</v>
      </c>
      <c r="N45" s="5">
        <v>1</v>
      </c>
      <c r="O45" s="5"/>
      <c r="P45" s="5">
        <v>1</v>
      </c>
      <c r="Q45" s="17">
        <f t="shared" si="3"/>
        <v>2</v>
      </c>
      <c r="R45" s="143">
        <f t="shared" si="4"/>
        <v>5</v>
      </c>
    </row>
    <row r="46" spans="1:18" x14ac:dyDescent="0.3">
      <c r="A46" s="3" t="s">
        <v>62</v>
      </c>
      <c r="B46" s="4">
        <v>2</v>
      </c>
      <c r="C46" s="12"/>
      <c r="D46" s="20">
        <f t="shared" si="5"/>
        <v>2</v>
      </c>
      <c r="E46" s="123"/>
      <c r="F46" s="17">
        <f t="shared" si="0"/>
        <v>0</v>
      </c>
      <c r="G46" s="14">
        <v>16</v>
      </c>
      <c r="H46" s="17">
        <f t="shared" si="1"/>
        <v>16</v>
      </c>
      <c r="I46" s="138"/>
      <c r="J46" s="5">
        <v>11</v>
      </c>
      <c r="K46" s="5"/>
      <c r="L46" s="5"/>
      <c r="M46" s="17">
        <f t="shared" si="2"/>
        <v>11</v>
      </c>
      <c r="N46" s="5"/>
      <c r="O46" s="5"/>
      <c r="P46" s="5">
        <v>16</v>
      </c>
      <c r="Q46" s="17">
        <f t="shared" si="3"/>
        <v>16</v>
      </c>
      <c r="R46" s="143">
        <f t="shared" si="4"/>
        <v>45</v>
      </c>
    </row>
    <row r="47" spans="1:18" x14ac:dyDescent="0.3">
      <c r="A47" s="3" t="s">
        <v>21</v>
      </c>
      <c r="B47" s="4"/>
      <c r="C47" s="63">
        <v>50</v>
      </c>
      <c r="D47" s="20">
        <f t="shared" si="5"/>
        <v>50</v>
      </c>
      <c r="E47" s="123"/>
      <c r="F47" s="17">
        <f t="shared" si="0"/>
        <v>0</v>
      </c>
      <c r="G47" s="14"/>
      <c r="H47" s="17">
        <f t="shared" si="1"/>
        <v>0</v>
      </c>
      <c r="I47" s="138"/>
      <c r="J47" s="5"/>
      <c r="K47" s="5"/>
      <c r="L47" s="5"/>
      <c r="M47" s="17">
        <f t="shared" si="2"/>
        <v>0</v>
      </c>
      <c r="N47" s="5"/>
      <c r="O47" s="5"/>
      <c r="P47" s="5"/>
      <c r="Q47" s="17">
        <f t="shared" si="3"/>
        <v>0</v>
      </c>
      <c r="R47" s="143">
        <f t="shared" si="4"/>
        <v>50</v>
      </c>
    </row>
    <row r="48" spans="1:18" x14ac:dyDescent="0.3">
      <c r="A48" s="3" t="s">
        <v>92</v>
      </c>
      <c r="B48" s="4"/>
      <c r="C48" s="16"/>
      <c r="D48" s="20"/>
      <c r="E48" s="123"/>
      <c r="F48" s="17">
        <f t="shared" si="0"/>
        <v>0</v>
      </c>
      <c r="G48" s="14"/>
      <c r="H48" s="17">
        <f t="shared" si="1"/>
        <v>0</v>
      </c>
      <c r="I48" s="138"/>
      <c r="J48" s="5"/>
      <c r="K48" s="5"/>
      <c r="L48" s="5"/>
      <c r="M48" s="17">
        <f t="shared" si="2"/>
        <v>0</v>
      </c>
      <c r="N48" s="5"/>
      <c r="O48" s="5"/>
      <c r="P48" s="5"/>
      <c r="Q48" s="17">
        <f t="shared" si="3"/>
        <v>0</v>
      </c>
      <c r="R48" s="143">
        <f t="shared" si="4"/>
        <v>0</v>
      </c>
    </row>
    <row r="49" spans="1:18" x14ac:dyDescent="0.3">
      <c r="A49" s="3" t="s">
        <v>22</v>
      </c>
      <c r="B49" s="4"/>
      <c r="C49" s="63"/>
      <c r="D49" s="20">
        <f t="shared" si="5"/>
        <v>0</v>
      </c>
      <c r="E49" s="123"/>
      <c r="F49" s="17">
        <f t="shared" si="0"/>
        <v>0</v>
      </c>
      <c r="G49" s="14"/>
      <c r="H49" s="17">
        <f t="shared" si="1"/>
        <v>0</v>
      </c>
      <c r="I49" s="138"/>
      <c r="J49" s="5"/>
      <c r="K49" s="5"/>
      <c r="L49" s="5">
        <v>90</v>
      </c>
      <c r="M49" s="17">
        <f t="shared" si="2"/>
        <v>90</v>
      </c>
      <c r="N49" s="5"/>
      <c r="O49" s="5"/>
      <c r="P49" s="5"/>
      <c r="Q49" s="17">
        <f t="shared" si="3"/>
        <v>0</v>
      </c>
      <c r="R49" s="143">
        <f t="shared" si="4"/>
        <v>90</v>
      </c>
    </row>
    <row r="50" spans="1:18" x14ac:dyDescent="0.3">
      <c r="A50" s="3" t="s">
        <v>67</v>
      </c>
      <c r="B50" s="4"/>
      <c r="C50" s="16"/>
      <c r="D50" s="20">
        <f t="shared" si="5"/>
        <v>0</v>
      </c>
      <c r="E50" s="123"/>
      <c r="F50" s="17">
        <f t="shared" si="0"/>
        <v>0</v>
      </c>
      <c r="G50" s="14"/>
      <c r="H50" s="17">
        <f t="shared" si="1"/>
        <v>0</v>
      </c>
      <c r="I50" s="138"/>
      <c r="J50" s="5"/>
      <c r="K50" s="5"/>
      <c r="L50" s="5"/>
      <c r="M50" s="17">
        <f t="shared" si="2"/>
        <v>0</v>
      </c>
      <c r="N50" s="5"/>
      <c r="O50" s="5"/>
      <c r="P50" s="5"/>
      <c r="Q50" s="17">
        <f t="shared" si="3"/>
        <v>0</v>
      </c>
      <c r="R50" s="143">
        <f t="shared" si="4"/>
        <v>0</v>
      </c>
    </row>
    <row r="51" spans="1:18" x14ac:dyDescent="0.3">
      <c r="A51" s="3" t="s">
        <v>93</v>
      </c>
      <c r="B51" s="4"/>
      <c r="C51" s="16"/>
      <c r="D51" s="20"/>
      <c r="E51" s="123"/>
      <c r="F51" s="17">
        <f t="shared" si="0"/>
        <v>0</v>
      </c>
      <c r="G51" s="14"/>
      <c r="H51" s="17">
        <f t="shared" si="1"/>
        <v>0</v>
      </c>
      <c r="I51" s="138"/>
      <c r="J51" s="5"/>
      <c r="K51" s="5"/>
      <c r="L51" s="5"/>
      <c r="M51" s="17">
        <f t="shared" si="2"/>
        <v>0</v>
      </c>
      <c r="N51" s="5"/>
      <c r="O51" s="5"/>
      <c r="P51" s="5"/>
      <c r="Q51" s="17">
        <f t="shared" si="3"/>
        <v>0</v>
      </c>
      <c r="R51" s="143">
        <f t="shared" si="4"/>
        <v>0</v>
      </c>
    </row>
    <row r="52" spans="1:18" x14ac:dyDescent="0.3">
      <c r="A52" s="3" t="s">
        <v>97</v>
      </c>
      <c r="B52" s="4"/>
      <c r="C52" s="16"/>
      <c r="D52" s="20">
        <f t="shared" si="5"/>
        <v>0</v>
      </c>
      <c r="E52" s="123"/>
      <c r="F52" s="17">
        <f t="shared" si="0"/>
        <v>0</v>
      </c>
      <c r="G52" s="14"/>
      <c r="H52" s="17">
        <f t="shared" si="1"/>
        <v>0</v>
      </c>
      <c r="I52" s="138"/>
      <c r="J52" s="5"/>
      <c r="K52" s="5"/>
      <c r="L52" s="5"/>
      <c r="M52" s="17">
        <f t="shared" si="2"/>
        <v>0</v>
      </c>
      <c r="N52" s="5"/>
      <c r="O52" s="5"/>
      <c r="P52" s="5"/>
      <c r="Q52" s="17">
        <f t="shared" si="3"/>
        <v>0</v>
      </c>
      <c r="R52" s="143">
        <f t="shared" si="4"/>
        <v>0</v>
      </c>
    </row>
    <row r="53" spans="1:18" x14ac:dyDescent="0.3">
      <c r="A53" s="3" t="s">
        <v>69</v>
      </c>
      <c r="B53" s="4"/>
      <c r="C53" s="16"/>
      <c r="D53" s="20">
        <f t="shared" si="5"/>
        <v>0</v>
      </c>
      <c r="E53" s="123"/>
      <c r="F53" s="17">
        <f t="shared" si="0"/>
        <v>0</v>
      </c>
      <c r="G53" s="14"/>
      <c r="H53" s="17">
        <f t="shared" si="1"/>
        <v>0</v>
      </c>
      <c r="I53" s="138">
        <v>17</v>
      </c>
      <c r="J53" s="5"/>
      <c r="K53" s="5">
        <v>14</v>
      </c>
      <c r="L53" s="5">
        <v>25</v>
      </c>
      <c r="M53" s="17">
        <f t="shared" si="2"/>
        <v>56</v>
      </c>
      <c r="N53" s="5"/>
      <c r="O53" s="5"/>
      <c r="P53" s="5"/>
      <c r="Q53" s="17">
        <f t="shared" si="3"/>
        <v>0</v>
      </c>
      <c r="R53" s="143">
        <f t="shared" si="4"/>
        <v>56</v>
      </c>
    </row>
    <row r="54" spans="1:18" x14ac:dyDescent="0.3">
      <c r="A54" s="3" t="s">
        <v>91</v>
      </c>
      <c r="B54" s="4"/>
      <c r="C54" s="16"/>
      <c r="D54" s="20">
        <f t="shared" ref="D54" si="6">B54+C54</f>
        <v>0</v>
      </c>
      <c r="E54" s="123"/>
      <c r="F54" s="17">
        <f t="shared" si="0"/>
        <v>0</v>
      </c>
      <c r="G54" s="14"/>
      <c r="H54" s="17">
        <f t="shared" si="1"/>
        <v>0</v>
      </c>
      <c r="I54" s="138"/>
      <c r="J54" s="5"/>
      <c r="K54" s="5"/>
      <c r="L54" s="5"/>
      <c r="M54" s="17">
        <f t="shared" si="2"/>
        <v>0</v>
      </c>
      <c r="N54" s="5"/>
      <c r="O54" s="5"/>
      <c r="P54" s="5"/>
      <c r="Q54" s="17">
        <f t="shared" si="3"/>
        <v>0</v>
      </c>
      <c r="R54" s="143">
        <f t="shared" si="4"/>
        <v>0</v>
      </c>
    </row>
    <row r="55" spans="1:18" x14ac:dyDescent="0.3">
      <c r="A55" s="3" t="s">
        <v>126</v>
      </c>
      <c r="B55" s="4"/>
      <c r="C55" s="16"/>
      <c r="D55" s="20">
        <f t="shared" si="5"/>
        <v>0</v>
      </c>
      <c r="E55" s="123"/>
      <c r="F55" s="17">
        <f t="shared" si="0"/>
        <v>0</v>
      </c>
      <c r="G55" s="14"/>
      <c r="H55" s="17">
        <f t="shared" si="1"/>
        <v>0</v>
      </c>
      <c r="I55" s="138"/>
      <c r="J55" s="5"/>
      <c r="K55" s="5"/>
      <c r="L55" s="5"/>
      <c r="M55" s="17">
        <f t="shared" si="2"/>
        <v>0</v>
      </c>
      <c r="N55" s="5"/>
      <c r="O55" s="5"/>
      <c r="P55" s="5"/>
      <c r="Q55" s="17">
        <f t="shared" si="3"/>
        <v>0</v>
      </c>
      <c r="R55" s="143">
        <f t="shared" si="4"/>
        <v>0</v>
      </c>
    </row>
    <row r="56" spans="1:18" x14ac:dyDescent="0.3">
      <c r="A56" s="3" t="s">
        <v>23</v>
      </c>
      <c r="B56" s="4"/>
      <c r="C56" s="63">
        <v>1</v>
      </c>
      <c r="D56" s="20">
        <f t="shared" si="5"/>
        <v>1</v>
      </c>
      <c r="E56" s="123"/>
      <c r="F56" s="17">
        <f t="shared" si="0"/>
        <v>0</v>
      </c>
      <c r="G56" s="14"/>
      <c r="H56" s="17">
        <f t="shared" si="1"/>
        <v>0</v>
      </c>
      <c r="I56" s="138"/>
      <c r="J56" s="5"/>
      <c r="K56" s="5"/>
      <c r="L56" s="5"/>
      <c r="M56" s="17">
        <f t="shared" si="2"/>
        <v>0</v>
      </c>
      <c r="N56" s="5"/>
      <c r="O56" s="5"/>
      <c r="P56" s="5"/>
      <c r="Q56" s="17">
        <f t="shared" si="3"/>
        <v>0</v>
      </c>
      <c r="R56" s="143">
        <f t="shared" si="4"/>
        <v>1</v>
      </c>
    </row>
    <row r="57" spans="1:18" x14ac:dyDescent="0.3">
      <c r="A57" s="3" t="s">
        <v>61</v>
      </c>
      <c r="B57" s="4">
        <v>1</v>
      </c>
      <c r="C57" s="12"/>
      <c r="D57" s="20">
        <f t="shared" si="5"/>
        <v>1</v>
      </c>
      <c r="E57" s="123">
        <v>1</v>
      </c>
      <c r="F57" s="17">
        <f t="shared" si="0"/>
        <v>1</v>
      </c>
      <c r="G57" s="14">
        <v>1</v>
      </c>
      <c r="H57" s="17">
        <f t="shared" si="1"/>
        <v>1</v>
      </c>
      <c r="I57" s="138"/>
      <c r="J57" s="5">
        <v>1</v>
      </c>
      <c r="K57" s="5"/>
      <c r="L57" s="5"/>
      <c r="M57" s="17">
        <f t="shared" si="2"/>
        <v>1</v>
      </c>
      <c r="N57" s="5"/>
      <c r="O57" s="5"/>
      <c r="P57" s="5">
        <v>1</v>
      </c>
      <c r="Q57" s="17">
        <f t="shared" si="3"/>
        <v>1</v>
      </c>
      <c r="R57" s="143">
        <f t="shared" si="4"/>
        <v>5</v>
      </c>
    </row>
    <row r="58" spans="1:18" x14ac:dyDescent="0.3">
      <c r="A58" s="3" t="s">
        <v>24</v>
      </c>
      <c r="B58" s="4">
        <v>30</v>
      </c>
      <c r="C58" s="12">
        <v>100</v>
      </c>
      <c r="D58" s="20">
        <f t="shared" si="5"/>
        <v>130</v>
      </c>
      <c r="E58" s="123">
        <v>50</v>
      </c>
      <c r="F58" s="17">
        <f t="shared" si="0"/>
        <v>50</v>
      </c>
      <c r="G58" s="14">
        <v>30</v>
      </c>
      <c r="H58" s="17">
        <f t="shared" si="1"/>
        <v>30</v>
      </c>
      <c r="I58" s="138"/>
      <c r="J58" s="5">
        <v>30</v>
      </c>
      <c r="K58" s="5"/>
      <c r="L58" s="5"/>
      <c r="M58" s="17">
        <f t="shared" si="2"/>
        <v>30</v>
      </c>
      <c r="N58" s="5"/>
      <c r="O58" s="5"/>
      <c r="P58" s="5">
        <v>30</v>
      </c>
      <c r="Q58" s="17">
        <f t="shared" si="3"/>
        <v>30</v>
      </c>
      <c r="R58" s="143">
        <f t="shared" si="4"/>
        <v>270</v>
      </c>
    </row>
    <row r="59" spans="1:18" x14ac:dyDescent="0.3">
      <c r="A59" s="101" t="s">
        <v>25</v>
      </c>
      <c r="B59" s="4">
        <v>2</v>
      </c>
      <c r="C59" s="12">
        <v>2</v>
      </c>
      <c r="D59" s="20">
        <f t="shared" si="5"/>
        <v>4</v>
      </c>
      <c r="E59" s="123">
        <v>2</v>
      </c>
      <c r="F59" s="17">
        <f t="shared" si="0"/>
        <v>2</v>
      </c>
      <c r="G59" s="14">
        <v>2</v>
      </c>
      <c r="H59" s="17">
        <f t="shared" si="1"/>
        <v>2</v>
      </c>
      <c r="I59" s="138"/>
      <c r="J59" s="5">
        <v>2</v>
      </c>
      <c r="K59" s="5"/>
      <c r="L59" s="5"/>
      <c r="M59" s="17">
        <f t="shared" si="2"/>
        <v>2</v>
      </c>
      <c r="N59" s="5"/>
      <c r="O59" s="5"/>
      <c r="P59" s="5">
        <v>2</v>
      </c>
      <c r="Q59" s="17">
        <f t="shared" si="3"/>
        <v>2</v>
      </c>
      <c r="R59" s="143">
        <f t="shared" si="4"/>
        <v>12</v>
      </c>
    </row>
    <row r="60" spans="1:18" x14ac:dyDescent="0.3">
      <c r="A60" s="3" t="s">
        <v>18</v>
      </c>
      <c r="B60" s="4"/>
      <c r="C60" s="63"/>
      <c r="D60" s="20">
        <f t="shared" si="5"/>
        <v>0</v>
      </c>
      <c r="E60" s="123"/>
      <c r="F60" s="17">
        <f t="shared" si="0"/>
        <v>0</v>
      </c>
      <c r="G60" s="14"/>
      <c r="H60" s="17">
        <f t="shared" si="1"/>
        <v>0</v>
      </c>
      <c r="I60" s="138"/>
      <c r="J60" s="5"/>
      <c r="K60" s="5"/>
      <c r="L60" s="5"/>
      <c r="M60" s="17">
        <f t="shared" si="2"/>
        <v>0</v>
      </c>
      <c r="N60" s="5"/>
      <c r="O60" s="5"/>
      <c r="P60" s="5"/>
      <c r="Q60" s="17">
        <f t="shared" si="3"/>
        <v>0</v>
      </c>
      <c r="R60" s="143">
        <f t="shared" si="4"/>
        <v>0</v>
      </c>
    </row>
    <row r="61" spans="1:18" x14ac:dyDescent="0.3">
      <c r="A61" s="3" t="s">
        <v>58</v>
      </c>
      <c r="B61" s="4"/>
      <c r="C61" s="63"/>
      <c r="D61" s="20">
        <f t="shared" si="5"/>
        <v>0</v>
      </c>
      <c r="E61" s="123"/>
      <c r="F61" s="17">
        <f t="shared" si="0"/>
        <v>0</v>
      </c>
      <c r="G61" s="14"/>
      <c r="H61" s="17">
        <f t="shared" si="1"/>
        <v>0</v>
      </c>
      <c r="I61" s="138"/>
      <c r="J61" s="5"/>
      <c r="K61" s="5"/>
      <c r="L61" s="5"/>
      <c r="M61" s="17">
        <f t="shared" si="2"/>
        <v>0</v>
      </c>
      <c r="N61" s="5">
        <v>90</v>
      </c>
      <c r="O61" s="5"/>
      <c r="P61" s="5"/>
      <c r="Q61" s="17">
        <f t="shared" si="3"/>
        <v>90</v>
      </c>
      <c r="R61" s="143">
        <f t="shared" si="4"/>
        <v>90</v>
      </c>
    </row>
    <row r="62" spans="1:18" x14ac:dyDescent="0.3">
      <c r="A62" s="3" t="s">
        <v>125</v>
      </c>
      <c r="B62" s="4"/>
      <c r="C62" s="63"/>
      <c r="D62" s="20">
        <f t="shared" si="5"/>
        <v>0</v>
      </c>
      <c r="E62" s="123">
        <v>320</v>
      </c>
      <c r="F62" s="17">
        <f t="shared" si="0"/>
        <v>320</v>
      </c>
      <c r="G62" s="14"/>
      <c r="H62" s="17">
        <f t="shared" si="1"/>
        <v>0</v>
      </c>
      <c r="I62" s="138"/>
      <c r="J62" s="5"/>
      <c r="K62" s="5"/>
      <c r="L62" s="5"/>
      <c r="M62" s="17">
        <f t="shared" si="2"/>
        <v>0</v>
      </c>
      <c r="N62" s="5"/>
      <c r="O62" s="5"/>
      <c r="P62" s="5"/>
      <c r="Q62" s="17">
        <f t="shared" si="3"/>
        <v>0</v>
      </c>
      <c r="R62" s="143">
        <f t="shared" si="4"/>
        <v>320</v>
      </c>
    </row>
    <row r="63" spans="1:18" x14ac:dyDescent="0.3">
      <c r="A63" s="3" t="s">
        <v>119</v>
      </c>
      <c r="B63" s="4">
        <v>40</v>
      </c>
      <c r="C63" s="63"/>
      <c r="D63" s="20">
        <f t="shared" si="5"/>
        <v>40</v>
      </c>
      <c r="E63" s="123"/>
      <c r="F63" s="17">
        <f t="shared" si="0"/>
        <v>0</v>
      </c>
      <c r="G63" s="14">
        <v>40</v>
      </c>
      <c r="H63" s="17">
        <f t="shared" si="1"/>
        <v>40</v>
      </c>
      <c r="I63" s="138"/>
      <c r="J63" s="5">
        <v>40</v>
      </c>
      <c r="K63" s="5">
        <v>120</v>
      </c>
      <c r="L63" s="5">
        <v>90</v>
      </c>
      <c r="M63" s="17">
        <f t="shared" si="2"/>
        <v>250</v>
      </c>
      <c r="N63" s="5"/>
      <c r="O63" s="5"/>
      <c r="P63" s="5">
        <v>50</v>
      </c>
      <c r="Q63" s="17">
        <f t="shared" si="3"/>
        <v>50</v>
      </c>
      <c r="R63" s="143">
        <f t="shared" si="4"/>
        <v>380</v>
      </c>
    </row>
    <row r="64" spans="1:18" x14ac:dyDescent="0.3">
      <c r="A64" s="3" t="s">
        <v>124</v>
      </c>
      <c r="B64" s="4">
        <v>40</v>
      </c>
      <c r="C64" s="63"/>
      <c r="D64" s="20">
        <f t="shared" si="5"/>
        <v>40</v>
      </c>
      <c r="E64" s="123"/>
      <c r="F64" s="17">
        <f t="shared" si="0"/>
        <v>0</v>
      </c>
      <c r="G64" s="14">
        <v>40</v>
      </c>
      <c r="H64" s="17">
        <f t="shared" si="1"/>
        <v>40</v>
      </c>
      <c r="I64" s="138"/>
      <c r="J64" s="5">
        <v>40</v>
      </c>
      <c r="K64" s="5"/>
      <c r="L64" s="5"/>
      <c r="M64" s="17">
        <f t="shared" si="2"/>
        <v>40</v>
      </c>
      <c r="N64" s="5"/>
      <c r="O64" s="5"/>
      <c r="P64" s="5">
        <v>50</v>
      </c>
      <c r="Q64" s="17">
        <f t="shared" si="3"/>
        <v>50</v>
      </c>
      <c r="R64" s="143">
        <f t="shared" si="4"/>
        <v>170</v>
      </c>
    </row>
    <row r="65" spans="1:18" x14ac:dyDescent="0.3">
      <c r="A65" s="3" t="s">
        <v>118</v>
      </c>
      <c r="B65" s="4"/>
      <c r="C65" s="63"/>
      <c r="D65" s="20">
        <f t="shared" si="5"/>
        <v>0</v>
      </c>
      <c r="E65" s="123"/>
      <c r="F65" s="17">
        <f t="shared" si="0"/>
        <v>0</v>
      </c>
      <c r="G65" s="14"/>
      <c r="H65" s="17">
        <f t="shared" si="1"/>
        <v>0</v>
      </c>
      <c r="I65" s="138"/>
      <c r="J65" s="5"/>
      <c r="K65" s="5"/>
      <c r="L65" s="5">
        <v>90</v>
      </c>
      <c r="M65" s="17">
        <f t="shared" si="2"/>
        <v>90</v>
      </c>
      <c r="N65" s="5"/>
      <c r="O65" s="5"/>
      <c r="P65" s="5"/>
      <c r="Q65" s="17">
        <f t="shared" si="3"/>
        <v>0</v>
      </c>
      <c r="R65" s="143">
        <f t="shared" si="4"/>
        <v>90</v>
      </c>
    </row>
    <row r="66" spans="1:18" x14ac:dyDescent="0.3">
      <c r="A66" s="3" t="s">
        <v>123</v>
      </c>
      <c r="B66" s="4">
        <v>51</v>
      </c>
      <c r="C66" s="63"/>
      <c r="D66" s="20">
        <f t="shared" si="5"/>
        <v>51</v>
      </c>
      <c r="E66" s="123"/>
      <c r="F66" s="17">
        <f t="shared" si="0"/>
        <v>0</v>
      </c>
      <c r="G66" s="14">
        <v>51</v>
      </c>
      <c r="H66" s="17">
        <f t="shared" si="1"/>
        <v>51</v>
      </c>
      <c r="I66" s="138"/>
      <c r="J66" s="5">
        <v>50</v>
      </c>
      <c r="K66" s="5"/>
      <c r="L66" s="5"/>
      <c r="M66" s="17">
        <f t="shared" si="2"/>
        <v>50</v>
      </c>
      <c r="N66" s="5"/>
      <c r="O66" s="5"/>
      <c r="P66" s="5">
        <v>60</v>
      </c>
      <c r="Q66" s="17">
        <f t="shared" si="3"/>
        <v>60</v>
      </c>
      <c r="R66" s="143">
        <f t="shared" si="4"/>
        <v>212</v>
      </c>
    </row>
    <row r="67" spans="1:18" x14ac:dyDescent="0.3">
      <c r="A67" s="3" t="s">
        <v>122</v>
      </c>
      <c r="B67" s="4"/>
      <c r="C67" s="63"/>
      <c r="D67" s="20">
        <f t="shared" si="5"/>
        <v>0</v>
      </c>
      <c r="E67" s="123"/>
      <c r="F67" s="17">
        <f t="shared" si="0"/>
        <v>0</v>
      </c>
      <c r="G67" s="14"/>
      <c r="H67" s="17">
        <f t="shared" si="1"/>
        <v>0</v>
      </c>
      <c r="I67" s="138"/>
      <c r="J67" s="5"/>
      <c r="K67" s="5">
        <v>70</v>
      </c>
      <c r="L67" s="5"/>
      <c r="M67" s="17">
        <f t="shared" si="2"/>
        <v>70</v>
      </c>
      <c r="N67" s="5">
        <v>300</v>
      </c>
      <c r="O67" s="5"/>
      <c r="P67" s="5"/>
      <c r="Q67" s="17">
        <f t="shared" si="3"/>
        <v>300</v>
      </c>
      <c r="R67" s="143">
        <f t="shared" si="4"/>
        <v>370</v>
      </c>
    </row>
    <row r="68" spans="1:18" x14ac:dyDescent="0.3">
      <c r="A68" s="3" t="s">
        <v>19</v>
      </c>
      <c r="B68" s="4"/>
      <c r="C68" s="63"/>
      <c r="D68" s="20">
        <f t="shared" si="5"/>
        <v>0</v>
      </c>
      <c r="E68" s="123"/>
      <c r="F68" s="17">
        <f t="shared" si="0"/>
        <v>0</v>
      </c>
      <c r="G68" s="14"/>
      <c r="H68" s="17">
        <f t="shared" si="1"/>
        <v>0</v>
      </c>
      <c r="I68" s="138"/>
      <c r="J68" s="5"/>
      <c r="K68" s="5"/>
      <c r="L68" s="5"/>
      <c r="M68" s="17">
        <f t="shared" si="2"/>
        <v>0</v>
      </c>
      <c r="N68" s="5"/>
      <c r="O68" s="5"/>
      <c r="P68" s="5"/>
      <c r="Q68" s="17">
        <f t="shared" si="3"/>
        <v>0</v>
      </c>
      <c r="R68" s="143">
        <f t="shared" si="4"/>
        <v>0</v>
      </c>
    </row>
    <row r="69" spans="1:18" x14ac:dyDescent="0.3">
      <c r="A69" s="3" t="s">
        <v>20</v>
      </c>
      <c r="B69" s="65">
        <v>80</v>
      </c>
      <c r="C69" s="66"/>
      <c r="D69" s="20">
        <f t="shared" si="5"/>
        <v>80</v>
      </c>
      <c r="E69" s="123"/>
      <c r="F69" s="17">
        <f t="shared" si="0"/>
        <v>0</v>
      </c>
      <c r="G69" s="67">
        <v>80</v>
      </c>
      <c r="H69" s="17">
        <f t="shared" si="1"/>
        <v>80</v>
      </c>
      <c r="I69" s="138"/>
      <c r="J69" s="5">
        <v>80</v>
      </c>
      <c r="K69" s="5"/>
      <c r="L69" s="5">
        <v>80</v>
      </c>
      <c r="M69" s="17">
        <f t="shared" si="2"/>
        <v>160</v>
      </c>
      <c r="N69" s="5"/>
      <c r="O69" s="5"/>
      <c r="P69" s="5">
        <v>100</v>
      </c>
      <c r="Q69" s="17">
        <f t="shared" si="3"/>
        <v>100</v>
      </c>
      <c r="R69" s="143">
        <f t="shared" si="4"/>
        <v>420</v>
      </c>
    </row>
    <row r="70" spans="1:18" x14ac:dyDescent="0.3">
      <c r="A70" s="3" t="s">
        <v>99</v>
      </c>
      <c r="B70" s="65"/>
      <c r="C70" s="66"/>
      <c r="D70" s="20"/>
      <c r="E70" s="123"/>
      <c r="F70" s="17">
        <f t="shared" si="0"/>
        <v>0</v>
      </c>
      <c r="G70" s="67"/>
      <c r="H70" s="17">
        <f t="shared" si="1"/>
        <v>0</v>
      </c>
      <c r="I70" s="138"/>
      <c r="J70" s="5"/>
      <c r="K70" s="5"/>
      <c r="L70" s="5"/>
      <c r="M70" s="17">
        <f t="shared" si="2"/>
        <v>0</v>
      </c>
      <c r="N70" s="5"/>
      <c r="O70" s="5"/>
      <c r="P70" s="5"/>
      <c r="Q70" s="17">
        <f t="shared" si="3"/>
        <v>0</v>
      </c>
      <c r="R70" s="143">
        <f t="shared" si="4"/>
        <v>0</v>
      </c>
    </row>
    <row r="71" spans="1:18" x14ac:dyDescent="0.3">
      <c r="A71" s="3" t="s">
        <v>96</v>
      </c>
      <c r="B71" s="65"/>
      <c r="C71" s="66"/>
      <c r="D71" s="20"/>
      <c r="E71" s="123">
        <v>12</v>
      </c>
      <c r="F71" s="17">
        <f t="shared" si="0"/>
        <v>12</v>
      </c>
      <c r="G71" s="67"/>
      <c r="H71" s="17">
        <f t="shared" ref="H71:H77" si="7">SUM(G71)</f>
        <v>0</v>
      </c>
      <c r="I71" s="138"/>
      <c r="J71" s="5"/>
      <c r="K71" s="5"/>
      <c r="L71" s="5"/>
      <c r="M71" s="17">
        <f t="shared" ref="M71:M77" si="8">SUM(I71:L71)</f>
        <v>0</v>
      </c>
      <c r="N71" s="5"/>
      <c r="O71" s="5"/>
      <c r="P71" s="5"/>
      <c r="Q71" s="17">
        <f t="shared" ref="Q71:Q77" si="9">SUM(N71:P71)</f>
        <v>0</v>
      </c>
      <c r="R71" s="143">
        <f t="shared" ref="R71:R77" si="10">D71+F71+H71+M71+Q71</f>
        <v>12</v>
      </c>
    </row>
    <row r="72" spans="1:18" x14ac:dyDescent="0.3">
      <c r="A72" s="3" t="s">
        <v>101</v>
      </c>
      <c r="B72" s="65"/>
      <c r="C72" s="66"/>
      <c r="D72" s="20"/>
      <c r="E72" s="123"/>
      <c r="F72" s="17">
        <f t="shared" ref="F72:F77" si="11">SUM(E72)</f>
        <v>0</v>
      </c>
      <c r="G72" s="67"/>
      <c r="H72" s="17">
        <f t="shared" si="7"/>
        <v>0</v>
      </c>
      <c r="I72" s="138"/>
      <c r="J72" s="5"/>
      <c r="K72" s="5"/>
      <c r="L72" s="5"/>
      <c r="M72" s="17">
        <f t="shared" si="8"/>
        <v>0</v>
      </c>
      <c r="N72" s="5"/>
      <c r="O72" s="5"/>
      <c r="P72" s="5"/>
      <c r="Q72" s="17">
        <f t="shared" si="9"/>
        <v>0</v>
      </c>
      <c r="R72" s="143">
        <f t="shared" si="10"/>
        <v>0</v>
      </c>
    </row>
    <row r="73" spans="1:18" x14ac:dyDescent="0.3">
      <c r="A73" s="3" t="s">
        <v>168</v>
      </c>
      <c r="B73" s="65"/>
      <c r="C73" s="66"/>
      <c r="D73" s="20"/>
      <c r="E73" s="123"/>
      <c r="F73" s="17">
        <f t="shared" si="11"/>
        <v>0</v>
      </c>
      <c r="G73" s="67"/>
      <c r="H73" s="17">
        <f t="shared" si="7"/>
        <v>0</v>
      </c>
      <c r="I73" s="138"/>
      <c r="J73" s="5"/>
      <c r="K73" s="5"/>
      <c r="L73" s="5"/>
      <c r="M73" s="17">
        <f t="shared" si="8"/>
        <v>0</v>
      </c>
      <c r="N73" s="5"/>
      <c r="O73" s="5"/>
      <c r="P73" s="5"/>
      <c r="Q73" s="17">
        <f t="shared" si="9"/>
        <v>0</v>
      </c>
      <c r="R73" s="143">
        <f t="shared" si="10"/>
        <v>0</v>
      </c>
    </row>
    <row r="74" spans="1:18" x14ac:dyDescent="0.3">
      <c r="A74" s="3" t="s">
        <v>120</v>
      </c>
      <c r="B74" s="65"/>
      <c r="C74" s="66"/>
      <c r="D74" s="20"/>
      <c r="E74" s="123"/>
      <c r="F74" s="17">
        <f t="shared" si="11"/>
        <v>0</v>
      </c>
      <c r="G74" s="67"/>
      <c r="H74" s="17">
        <f t="shared" si="7"/>
        <v>0</v>
      </c>
      <c r="I74" s="138"/>
      <c r="J74" s="5"/>
      <c r="K74" s="5"/>
      <c r="L74" s="5"/>
      <c r="M74" s="17">
        <f t="shared" si="8"/>
        <v>0</v>
      </c>
      <c r="N74" s="5"/>
      <c r="O74" s="5"/>
      <c r="P74" s="5"/>
      <c r="Q74" s="17">
        <f t="shared" si="9"/>
        <v>0</v>
      </c>
      <c r="R74" s="143">
        <f t="shared" si="10"/>
        <v>0</v>
      </c>
    </row>
    <row r="75" spans="1:18" x14ac:dyDescent="0.3">
      <c r="A75" s="3" t="s">
        <v>121</v>
      </c>
      <c r="B75" s="65"/>
      <c r="C75" s="66"/>
      <c r="D75" s="20"/>
      <c r="E75" s="123"/>
      <c r="F75" s="17">
        <f t="shared" si="11"/>
        <v>0</v>
      </c>
      <c r="G75" s="67"/>
      <c r="H75" s="17">
        <f t="shared" si="7"/>
        <v>0</v>
      </c>
      <c r="I75" s="138"/>
      <c r="J75" s="5"/>
      <c r="K75" s="5"/>
      <c r="L75" s="5"/>
      <c r="M75" s="17">
        <f t="shared" si="8"/>
        <v>0</v>
      </c>
      <c r="N75" s="5"/>
      <c r="O75" s="5"/>
      <c r="P75" s="5"/>
      <c r="Q75" s="17">
        <f t="shared" si="9"/>
        <v>0</v>
      </c>
      <c r="R75" s="143">
        <f t="shared" si="10"/>
        <v>0</v>
      </c>
    </row>
    <row r="76" spans="1:18" x14ac:dyDescent="0.3">
      <c r="A76" s="3" t="s">
        <v>100</v>
      </c>
      <c r="B76" s="65"/>
      <c r="C76" s="66"/>
      <c r="D76" s="20"/>
      <c r="E76" s="123"/>
      <c r="F76" s="17">
        <f t="shared" si="11"/>
        <v>0</v>
      </c>
      <c r="G76" s="67"/>
      <c r="H76" s="17">
        <f t="shared" si="7"/>
        <v>0</v>
      </c>
      <c r="I76" s="138"/>
      <c r="J76" s="5"/>
      <c r="K76" s="5"/>
      <c r="L76" s="5"/>
      <c r="M76" s="17">
        <f t="shared" si="8"/>
        <v>0</v>
      </c>
      <c r="N76" s="5"/>
      <c r="O76" s="5"/>
      <c r="P76" s="5"/>
      <c r="Q76" s="17">
        <f t="shared" si="9"/>
        <v>0</v>
      </c>
      <c r="R76" s="143">
        <f t="shared" si="10"/>
        <v>0</v>
      </c>
    </row>
    <row r="77" spans="1:18" ht="15" thickBot="1" x14ac:dyDescent="0.35">
      <c r="A77" s="102" t="s">
        <v>65</v>
      </c>
      <c r="B77" s="9">
        <v>2</v>
      </c>
      <c r="C77" s="64"/>
      <c r="D77" s="20">
        <f t="shared" si="5"/>
        <v>2</v>
      </c>
      <c r="E77" s="139">
        <v>2</v>
      </c>
      <c r="F77" s="17">
        <f t="shared" si="11"/>
        <v>2</v>
      </c>
      <c r="G77" s="15">
        <v>2</v>
      </c>
      <c r="H77" s="17">
        <f t="shared" si="7"/>
        <v>2</v>
      </c>
      <c r="I77" s="138"/>
      <c r="J77" s="5">
        <v>1</v>
      </c>
      <c r="K77" s="5">
        <v>2</v>
      </c>
      <c r="L77" s="5">
        <v>1</v>
      </c>
      <c r="M77" s="17">
        <f t="shared" si="8"/>
        <v>4</v>
      </c>
      <c r="N77" s="5">
        <v>1</v>
      </c>
      <c r="O77" s="5">
        <v>2</v>
      </c>
      <c r="P77" s="5">
        <v>2</v>
      </c>
      <c r="Q77" s="17">
        <f t="shared" si="9"/>
        <v>5</v>
      </c>
      <c r="R77" s="143">
        <f t="shared" si="10"/>
        <v>15</v>
      </c>
    </row>
  </sheetData>
  <pageMargins left="0.25" right="0.25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topLeftCell="A2" workbookViewId="0">
      <selection activeCell="C3" sqref="C3"/>
    </sheetView>
  </sheetViews>
  <sheetFormatPr baseColWidth="10" defaultRowHeight="14.4" x14ac:dyDescent="0.3"/>
  <cols>
    <col min="1" max="1" width="17.6640625" customWidth="1"/>
    <col min="2" max="2" width="6.33203125" customWidth="1"/>
    <col min="3" max="3" width="5.44140625" customWidth="1"/>
    <col min="4" max="4" width="5.5546875" bestFit="1" customWidth="1"/>
    <col min="5" max="5" width="6.109375" customWidth="1"/>
    <col min="6" max="6" width="5.5546875" customWidth="1"/>
    <col min="7" max="8" width="5.44140625" customWidth="1"/>
    <col min="9" max="9" width="6" customWidth="1"/>
    <col min="10" max="10" width="5.6640625" customWidth="1"/>
    <col min="11" max="11" width="6.44140625" customWidth="1"/>
    <col min="12" max="12" width="6.5546875" customWidth="1"/>
    <col min="13" max="13" width="6.33203125" customWidth="1"/>
    <col min="14" max="15" width="6.44140625" customWidth="1"/>
    <col min="16" max="16" width="6.5546875" customWidth="1"/>
    <col min="17" max="17" width="6.33203125" customWidth="1"/>
    <col min="18" max="18" width="6.109375" customWidth="1"/>
    <col min="19" max="19" width="24.33203125" customWidth="1"/>
  </cols>
  <sheetData>
    <row r="1" spans="1:19" ht="18" x14ac:dyDescent="0.35">
      <c r="A1" s="1" t="s">
        <v>165</v>
      </c>
    </row>
    <row r="2" spans="1:19" ht="18.600000000000001" thickBot="1" x14ac:dyDescent="0.4">
      <c r="A2" s="1"/>
    </row>
    <row r="3" spans="1:19" ht="18.600000000000001" thickBot="1" x14ac:dyDescent="0.4">
      <c r="A3" s="1"/>
      <c r="B3" s="157" t="s">
        <v>173</v>
      </c>
      <c r="C3" s="157" t="s">
        <v>173</v>
      </c>
      <c r="D3" s="150"/>
      <c r="E3" s="157" t="s">
        <v>173</v>
      </c>
      <c r="F3" s="150"/>
      <c r="G3" s="172" t="s">
        <v>173</v>
      </c>
      <c r="H3" s="150"/>
      <c r="I3" s="150"/>
      <c r="J3" s="160" t="s">
        <v>173</v>
      </c>
      <c r="K3" s="157" t="s">
        <v>173</v>
      </c>
      <c r="L3" s="161" t="s">
        <v>175</v>
      </c>
      <c r="M3" s="150"/>
      <c r="N3" s="157" t="s">
        <v>173</v>
      </c>
      <c r="O3" s="166" t="s">
        <v>173</v>
      </c>
      <c r="P3" s="157" t="s">
        <v>173</v>
      </c>
    </row>
    <row r="4" spans="1:19" ht="18.600000000000001" thickBot="1" x14ac:dyDescent="0.4">
      <c r="A4" s="1"/>
      <c r="B4" s="158" t="s">
        <v>172</v>
      </c>
      <c r="C4" s="158" t="s">
        <v>174</v>
      </c>
      <c r="D4" s="150"/>
      <c r="E4" s="158" t="s">
        <v>174</v>
      </c>
      <c r="F4" s="150"/>
      <c r="G4" s="171" t="s">
        <v>172</v>
      </c>
      <c r="H4" s="150"/>
      <c r="I4" s="150"/>
      <c r="J4" s="162" t="s">
        <v>172</v>
      </c>
      <c r="K4" s="158" t="s">
        <v>172</v>
      </c>
      <c r="L4" s="163" t="s">
        <v>172</v>
      </c>
      <c r="M4" s="150"/>
      <c r="N4" s="158" t="s">
        <v>172</v>
      </c>
      <c r="O4" s="167" t="s">
        <v>172</v>
      </c>
      <c r="P4" s="158" t="s">
        <v>172</v>
      </c>
    </row>
    <row r="5" spans="1:19" ht="15" thickBot="1" x14ac:dyDescent="0.35">
      <c r="B5" s="159" t="s">
        <v>170</v>
      </c>
      <c r="C5" s="159" t="s">
        <v>170</v>
      </c>
      <c r="D5" s="150"/>
      <c r="E5" s="159" t="s">
        <v>171</v>
      </c>
      <c r="F5" s="150"/>
      <c r="G5" s="159" t="s">
        <v>170</v>
      </c>
      <c r="H5" s="150"/>
      <c r="I5" s="156" t="s">
        <v>176</v>
      </c>
      <c r="J5" s="164" t="s">
        <v>170</v>
      </c>
      <c r="K5" s="159" t="s">
        <v>170</v>
      </c>
      <c r="L5" s="165" t="s">
        <v>170</v>
      </c>
      <c r="M5" s="150"/>
      <c r="N5" s="159" t="s">
        <v>170</v>
      </c>
      <c r="O5" s="168" t="s">
        <v>170</v>
      </c>
      <c r="P5" s="159" t="s">
        <v>170</v>
      </c>
    </row>
    <row r="6" spans="1:19" ht="18.600000000000001" thickBot="1" x14ac:dyDescent="0.4">
      <c r="A6" s="95"/>
      <c r="B6" s="151">
        <v>50</v>
      </c>
      <c r="C6" s="152">
        <v>70</v>
      </c>
      <c r="D6" s="89"/>
      <c r="E6" s="152">
        <v>80</v>
      </c>
      <c r="F6" s="89"/>
      <c r="G6" s="153">
        <v>60</v>
      </c>
      <c r="H6" s="89"/>
      <c r="I6" s="153">
        <v>40</v>
      </c>
      <c r="J6" s="153">
        <v>50</v>
      </c>
      <c r="K6" s="154">
        <v>101</v>
      </c>
      <c r="L6" s="155">
        <v>70</v>
      </c>
      <c r="M6" s="89"/>
      <c r="N6" s="153">
        <v>50</v>
      </c>
      <c r="O6" s="169">
        <v>80</v>
      </c>
      <c r="P6" s="153">
        <v>60</v>
      </c>
      <c r="Q6" s="89"/>
      <c r="R6" s="89"/>
      <c r="S6" s="89"/>
    </row>
    <row r="7" spans="1:19" ht="15" thickBot="1" x14ac:dyDescent="0.35">
      <c r="B7" s="125" t="s">
        <v>85</v>
      </c>
      <c r="C7" s="126" t="s">
        <v>84</v>
      </c>
      <c r="D7" s="105"/>
      <c r="E7" s="126" t="s">
        <v>83</v>
      </c>
      <c r="F7" s="105"/>
      <c r="G7" s="126" t="s">
        <v>85</v>
      </c>
      <c r="H7" s="105"/>
      <c r="I7" s="126" t="s">
        <v>83</v>
      </c>
      <c r="J7" s="126" t="s">
        <v>85</v>
      </c>
      <c r="K7" s="127" t="s">
        <v>83</v>
      </c>
      <c r="L7" s="128" t="s">
        <v>83</v>
      </c>
      <c r="M7" s="105"/>
      <c r="N7" s="126" t="s">
        <v>85</v>
      </c>
      <c r="O7" s="170" t="s">
        <v>83</v>
      </c>
      <c r="P7" s="126" t="s">
        <v>85</v>
      </c>
      <c r="Q7" s="105"/>
      <c r="R7" s="105"/>
      <c r="S7" s="106"/>
    </row>
    <row r="8" spans="1:19" ht="24.6" thickBot="1" x14ac:dyDescent="0.35">
      <c r="A8" s="8" t="s">
        <v>0</v>
      </c>
      <c r="B8" s="96" t="s">
        <v>149</v>
      </c>
      <c r="C8" s="96" t="s">
        <v>150</v>
      </c>
      <c r="D8" s="26" t="s">
        <v>1</v>
      </c>
      <c r="E8" s="122" t="s">
        <v>151</v>
      </c>
      <c r="F8" s="26" t="s">
        <v>1</v>
      </c>
      <c r="G8" s="98" t="s">
        <v>152</v>
      </c>
      <c r="H8" s="26" t="s">
        <v>1</v>
      </c>
      <c r="I8" s="137" t="s">
        <v>164</v>
      </c>
      <c r="J8" s="137" t="s">
        <v>153</v>
      </c>
      <c r="K8" s="96" t="s">
        <v>154</v>
      </c>
      <c r="L8" s="96" t="s">
        <v>155</v>
      </c>
      <c r="M8" s="26" t="s">
        <v>1</v>
      </c>
      <c r="N8" s="98" t="s">
        <v>157</v>
      </c>
      <c r="O8" s="173" t="s">
        <v>156</v>
      </c>
      <c r="P8" s="137" t="s">
        <v>169</v>
      </c>
      <c r="Q8" s="26" t="s">
        <v>1</v>
      </c>
      <c r="R8" s="124" t="s">
        <v>2</v>
      </c>
      <c r="S8" s="110" t="s">
        <v>26</v>
      </c>
    </row>
    <row r="9" spans="1:19" ht="15" customHeight="1" x14ac:dyDescent="0.3">
      <c r="A9" s="120" t="s">
        <v>112</v>
      </c>
      <c r="B9" s="23">
        <v>30</v>
      </c>
      <c r="C9" s="188" t="s">
        <v>73</v>
      </c>
      <c r="D9" s="28">
        <v>30</v>
      </c>
      <c r="E9" s="68">
        <v>35</v>
      </c>
      <c r="F9" s="28">
        <v>35</v>
      </c>
      <c r="G9" s="68">
        <v>30</v>
      </c>
      <c r="H9" s="28">
        <v>30</v>
      </c>
      <c r="I9" s="185" t="s">
        <v>73</v>
      </c>
      <c r="J9" s="27">
        <v>30</v>
      </c>
      <c r="K9" s="112">
        <v>40</v>
      </c>
      <c r="L9" s="111">
        <v>35</v>
      </c>
      <c r="M9" s="28">
        <f>J9+K9+L9</f>
        <v>105</v>
      </c>
      <c r="N9" s="191" t="s">
        <v>73</v>
      </c>
      <c r="O9" s="7">
        <v>35</v>
      </c>
      <c r="P9" s="68">
        <v>30</v>
      </c>
      <c r="Q9" s="144">
        <v>65</v>
      </c>
      <c r="R9" s="28">
        <f>D9+F9+H9+M9+Q9</f>
        <v>265</v>
      </c>
      <c r="S9" s="69"/>
    </row>
    <row r="10" spans="1:19" x14ac:dyDescent="0.3">
      <c r="A10" s="2" t="s">
        <v>115</v>
      </c>
      <c r="B10" s="148">
        <v>24</v>
      </c>
      <c r="C10" s="189"/>
      <c r="D10" s="18">
        <v>24</v>
      </c>
      <c r="E10" s="6">
        <v>24</v>
      </c>
      <c r="F10" s="18">
        <v>24</v>
      </c>
      <c r="G10" s="6">
        <v>24</v>
      </c>
      <c r="H10" s="17">
        <v>24</v>
      </c>
      <c r="I10" s="186"/>
      <c r="J10" s="13">
        <v>24</v>
      </c>
      <c r="K10" s="7">
        <v>30</v>
      </c>
      <c r="L10" s="11">
        <v>28</v>
      </c>
      <c r="M10" s="18">
        <f t="shared" ref="M10:M28" si="0">J10+K10+L10</f>
        <v>82</v>
      </c>
      <c r="N10" s="192"/>
      <c r="O10" s="5">
        <v>28</v>
      </c>
      <c r="P10" s="6">
        <v>24</v>
      </c>
      <c r="Q10" s="145">
        <v>52</v>
      </c>
      <c r="R10" s="18">
        <f t="shared" ref="R10:R28" si="1">D10+F10+H10+M10+Q10</f>
        <v>206</v>
      </c>
      <c r="S10" s="70"/>
    </row>
    <row r="11" spans="1:19" x14ac:dyDescent="0.3">
      <c r="A11" s="2" t="s">
        <v>27</v>
      </c>
      <c r="B11" s="24">
        <v>5</v>
      </c>
      <c r="C11" s="189"/>
      <c r="D11" s="18">
        <v>5</v>
      </c>
      <c r="E11" s="4">
        <v>5</v>
      </c>
      <c r="F11" s="18">
        <v>5</v>
      </c>
      <c r="G11" s="4">
        <v>5</v>
      </c>
      <c r="H11" s="18">
        <v>5</v>
      </c>
      <c r="I11" s="186"/>
      <c r="J11" s="14">
        <v>5</v>
      </c>
      <c r="K11" s="5"/>
      <c r="L11" s="12"/>
      <c r="M11" s="18">
        <f t="shared" si="0"/>
        <v>5</v>
      </c>
      <c r="N11" s="192"/>
      <c r="O11" s="5"/>
      <c r="P11" s="4">
        <v>5</v>
      </c>
      <c r="Q11" s="146">
        <v>5</v>
      </c>
      <c r="R11" s="18">
        <f t="shared" si="1"/>
        <v>25</v>
      </c>
      <c r="S11" s="70"/>
    </row>
    <row r="12" spans="1:19" x14ac:dyDescent="0.3">
      <c r="A12" s="2" t="s">
        <v>113</v>
      </c>
      <c r="B12" s="24">
        <v>3</v>
      </c>
      <c r="C12" s="189"/>
      <c r="D12" s="18">
        <v>3</v>
      </c>
      <c r="E12" s="4">
        <v>4</v>
      </c>
      <c r="F12" s="18">
        <v>4</v>
      </c>
      <c r="G12" s="4">
        <v>3</v>
      </c>
      <c r="H12" s="18">
        <v>3</v>
      </c>
      <c r="I12" s="186"/>
      <c r="J12" s="14">
        <v>3</v>
      </c>
      <c r="K12" s="5">
        <v>5</v>
      </c>
      <c r="L12" s="12"/>
      <c r="M12" s="18">
        <f t="shared" si="0"/>
        <v>8</v>
      </c>
      <c r="N12" s="192"/>
      <c r="O12" s="5"/>
      <c r="P12" s="4">
        <v>3</v>
      </c>
      <c r="Q12" s="146">
        <v>3</v>
      </c>
      <c r="R12" s="18">
        <f t="shared" si="1"/>
        <v>21</v>
      </c>
      <c r="S12" s="70"/>
    </row>
    <row r="13" spans="1:19" x14ac:dyDescent="0.3">
      <c r="A13" s="2" t="s">
        <v>114</v>
      </c>
      <c r="B13" s="24">
        <v>120</v>
      </c>
      <c r="C13" s="189"/>
      <c r="D13" s="18">
        <v>120</v>
      </c>
      <c r="E13" s="4">
        <v>120</v>
      </c>
      <c r="F13" s="18">
        <v>120</v>
      </c>
      <c r="G13" s="4">
        <v>140</v>
      </c>
      <c r="H13" s="18">
        <v>140</v>
      </c>
      <c r="I13" s="186"/>
      <c r="J13" s="14">
        <v>140</v>
      </c>
      <c r="K13" s="5">
        <v>168</v>
      </c>
      <c r="L13" s="12">
        <v>120</v>
      </c>
      <c r="M13" s="18">
        <f t="shared" si="0"/>
        <v>428</v>
      </c>
      <c r="N13" s="192"/>
      <c r="O13" s="5">
        <v>160</v>
      </c>
      <c r="P13" s="4">
        <v>130</v>
      </c>
      <c r="Q13" s="146">
        <v>290</v>
      </c>
      <c r="R13" s="18">
        <f t="shared" si="1"/>
        <v>1098</v>
      </c>
      <c r="S13" s="70"/>
    </row>
    <row r="14" spans="1:19" x14ac:dyDescent="0.3">
      <c r="A14" s="2" t="s">
        <v>28</v>
      </c>
      <c r="B14" s="24"/>
      <c r="C14" s="189"/>
      <c r="D14" s="18"/>
      <c r="E14" s="4"/>
      <c r="F14" s="18"/>
      <c r="G14" s="4"/>
      <c r="H14" s="18"/>
      <c r="I14" s="186"/>
      <c r="J14" s="14"/>
      <c r="K14" s="5"/>
      <c r="L14" s="12">
        <v>4</v>
      </c>
      <c r="M14" s="18">
        <f t="shared" si="0"/>
        <v>4</v>
      </c>
      <c r="N14" s="192"/>
      <c r="O14" s="5"/>
      <c r="P14" s="4"/>
      <c r="Q14" s="146"/>
      <c r="R14" s="18">
        <f t="shared" si="1"/>
        <v>4</v>
      </c>
      <c r="S14" s="70"/>
    </row>
    <row r="15" spans="1:19" x14ac:dyDescent="0.3">
      <c r="A15" s="2" t="s">
        <v>74</v>
      </c>
      <c r="B15" s="24">
        <v>4</v>
      </c>
      <c r="C15" s="189"/>
      <c r="D15" s="18">
        <v>4</v>
      </c>
      <c r="E15" s="4">
        <v>4</v>
      </c>
      <c r="F15" s="18">
        <v>4</v>
      </c>
      <c r="G15" s="4">
        <v>4</v>
      </c>
      <c r="H15" s="18">
        <v>4</v>
      </c>
      <c r="I15" s="186"/>
      <c r="J15" s="14">
        <v>4</v>
      </c>
      <c r="K15" s="5"/>
      <c r="L15" s="12">
        <v>4</v>
      </c>
      <c r="M15" s="18">
        <f t="shared" si="0"/>
        <v>8</v>
      </c>
      <c r="N15" s="192"/>
      <c r="O15" s="5"/>
      <c r="P15" s="4">
        <v>4</v>
      </c>
      <c r="Q15" s="146">
        <v>4</v>
      </c>
      <c r="R15" s="18">
        <f t="shared" si="1"/>
        <v>24</v>
      </c>
      <c r="S15" s="70"/>
    </row>
    <row r="16" spans="1:19" x14ac:dyDescent="0.3">
      <c r="A16" s="2" t="s">
        <v>105</v>
      </c>
      <c r="B16" s="24">
        <v>10</v>
      </c>
      <c r="C16" s="189"/>
      <c r="D16" s="18">
        <v>10</v>
      </c>
      <c r="E16" s="4">
        <v>10</v>
      </c>
      <c r="F16" s="18">
        <v>10</v>
      </c>
      <c r="G16" s="4">
        <v>14</v>
      </c>
      <c r="H16" s="18">
        <v>14</v>
      </c>
      <c r="I16" s="186"/>
      <c r="J16" s="14">
        <v>10</v>
      </c>
      <c r="K16" s="5"/>
      <c r="L16" s="12">
        <v>10</v>
      </c>
      <c r="M16" s="18">
        <f t="shared" si="0"/>
        <v>20</v>
      </c>
      <c r="N16" s="192"/>
      <c r="O16" s="5"/>
      <c r="P16" s="4">
        <v>12</v>
      </c>
      <c r="Q16" s="146">
        <v>12</v>
      </c>
      <c r="R16" s="18">
        <f t="shared" si="1"/>
        <v>66</v>
      </c>
      <c r="S16" s="70"/>
    </row>
    <row r="17" spans="1:19" x14ac:dyDescent="0.3">
      <c r="A17" s="2" t="s">
        <v>102</v>
      </c>
      <c r="B17" s="24">
        <v>6</v>
      </c>
      <c r="C17" s="189"/>
      <c r="D17" s="18">
        <v>6</v>
      </c>
      <c r="E17" s="4">
        <v>6</v>
      </c>
      <c r="F17" s="18">
        <v>6</v>
      </c>
      <c r="G17" s="4">
        <v>6</v>
      </c>
      <c r="H17" s="18">
        <v>6</v>
      </c>
      <c r="I17" s="186"/>
      <c r="J17" s="14">
        <v>6</v>
      </c>
      <c r="K17" s="5">
        <v>6</v>
      </c>
      <c r="L17" s="12">
        <v>7</v>
      </c>
      <c r="M17" s="18">
        <f t="shared" si="0"/>
        <v>19</v>
      </c>
      <c r="N17" s="192"/>
      <c r="O17" s="5">
        <v>7</v>
      </c>
      <c r="P17" s="4">
        <v>7</v>
      </c>
      <c r="Q17" s="146">
        <v>14</v>
      </c>
      <c r="R17" s="18">
        <f t="shared" si="1"/>
        <v>51</v>
      </c>
      <c r="S17" s="70"/>
    </row>
    <row r="18" spans="1:19" x14ac:dyDescent="0.3">
      <c r="A18" s="2" t="s">
        <v>103</v>
      </c>
      <c r="B18" s="24">
        <v>4</v>
      </c>
      <c r="C18" s="189"/>
      <c r="D18" s="18">
        <v>4</v>
      </c>
      <c r="E18" s="4"/>
      <c r="F18" s="18"/>
      <c r="G18" s="4">
        <v>4</v>
      </c>
      <c r="H18" s="18">
        <v>4</v>
      </c>
      <c r="I18" s="186"/>
      <c r="J18" s="14">
        <v>4</v>
      </c>
      <c r="K18" s="5">
        <v>4</v>
      </c>
      <c r="L18" s="12">
        <v>5</v>
      </c>
      <c r="M18" s="18">
        <f t="shared" si="0"/>
        <v>13</v>
      </c>
      <c r="N18" s="192"/>
      <c r="O18" s="5">
        <v>4</v>
      </c>
      <c r="P18" s="4">
        <v>4</v>
      </c>
      <c r="Q18" s="146">
        <v>8</v>
      </c>
      <c r="R18" s="18">
        <f t="shared" si="1"/>
        <v>29</v>
      </c>
      <c r="S18" s="70"/>
    </row>
    <row r="19" spans="1:19" x14ac:dyDescent="0.3">
      <c r="A19" s="2" t="s">
        <v>106</v>
      </c>
      <c r="B19" s="24"/>
      <c r="C19" s="189"/>
      <c r="D19" s="18"/>
      <c r="E19" s="4">
        <v>4</v>
      </c>
      <c r="F19" s="18">
        <v>4</v>
      </c>
      <c r="G19" s="4"/>
      <c r="H19" s="18"/>
      <c r="I19" s="186"/>
      <c r="J19" s="14"/>
      <c r="K19" s="5">
        <v>4</v>
      </c>
      <c r="L19" s="12">
        <v>4</v>
      </c>
      <c r="M19" s="18">
        <f t="shared" si="0"/>
        <v>8</v>
      </c>
      <c r="N19" s="192"/>
      <c r="O19" s="5">
        <v>4</v>
      </c>
      <c r="P19" s="4"/>
      <c r="Q19" s="146">
        <v>4</v>
      </c>
      <c r="R19" s="18">
        <f t="shared" si="1"/>
        <v>16</v>
      </c>
      <c r="S19" s="70"/>
    </row>
    <row r="20" spans="1:19" x14ac:dyDescent="0.3">
      <c r="A20" s="2" t="s">
        <v>75</v>
      </c>
      <c r="B20" s="24"/>
      <c r="C20" s="189"/>
      <c r="D20" s="18"/>
      <c r="E20" s="4">
        <v>8</v>
      </c>
      <c r="F20" s="18">
        <v>8</v>
      </c>
      <c r="G20" s="4"/>
      <c r="H20" s="18"/>
      <c r="I20" s="186"/>
      <c r="J20" s="14"/>
      <c r="K20" s="5">
        <v>8</v>
      </c>
      <c r="L20" s="12">
        <v>8</v>
      </c>
      <c r="M20" s="18">
        <f t="shared" si="0"/>
        <v>16</v>
      </c>
      <c r="N20" s="192"/>
      <c r="O20" s="5">
        <v>10</v>
      </c>
      <c r="P20" s="4"/>
      <c r="Q20" s="146">
        <v>10</v>
      </c>
      <c r="R20" s="18">
        <f t="shared" si="1"/>
        <v>34</v>
      </c>
      <c r="S20" s="70"/>
    </row>
    <row r="21" spans="1:19" x14ac:dyDescent="0.3">
      <c r="A21" s="2" t="s">
        <v>108</v>
      </c>
      <c r="B21" s="24">
        <v>1</v>
      </c>
      <c r="C21" s="189"/>
      <c r="D21" s="18">
        <v>1</v>
      </c>
      <c r="E21" s="4">
        <v>2</v>
      </c>
      <c r="F21" s="18">
        <v>2</v>
      </c>
      <c r="G21" s="4">
        <v>2</v>
      </c>
      <c r="H21" s="18">
        <v>2</v>
      </c>
      <c r="I21" s="186"/>
      <c r="J21" s="14">
        <v>2</v>
      </c>
      <c r="K21" s="5"/>
      <c r="L21" s="12">
        <v>2</v>
      </c>
      <c r="M21" s="18">
        <f t="shared" si="0"/>
        <v>4</v>
      </c>
      <c r="N21" s="192"/>
      <c r="O21" s="5">
        <v>2</v>
      </c>
      <c r="P21" s="4">
        <v>2</v>
      </c>
      <c r="Q21" s="146">
        <v>4</v>
      </c>
      <c r="R21" s="18">
        <f t="shared" si="1"/>
        <v>13</v>
      </c>
      <c r="S21" s="70"/>
    </row>
    <row r="22" spans="1:19" x14ac:dyDescent="0.3">
      <c r="A22" s="2" t="s">
        <v>111</v>
      </c>
      <c r="B22" s="24"/>
      <c r="C22" s="189"/>
      <c r="D22" s="18"/>
      <c r="E22" s="4">
        <v>18</v>
      </c>
      <c r="F22" s="18">
        <v>18</v>
      </c>
      <c r="G22" s="4"/>
      <c r="H22" s="18"/>
      <c r="I22" s="186"/>
      <c r="J22" s="14"/>
      <c r="K22" s="5"/>
      <c r="L22" s="12"/>
      <c r="M22" s="18">
        <f t="shared" si="0"/>
        <v>0</v>
      </c>
      <c r="N22" s="192"/>
      <c r="O22" s="5"/>
      <c r="P22" s="4"/>
      <c r="Q22" s="146"/>
      <c r="R22" s="18">
        <f t="shared" si="1"/>
        <v>18</v>
      </c>
      <c r="S22" s="70"/>
    </row>
    <row r="23" spans="1:19" x14ac:dyDescent="0.3">
      <c r="A23" s="2" t="s">
        <v>29</v>
      </c>
      <c r="B23" s="24"/>
      <c r="C23" s="189"/>
      <c r="D23" s="18"/>
      <c r="E23" s="4">
        <v>24</v>
      </c>
      <c r="F23" s="18">
        <v>24</v>
      </c>
      <c r="G23" s="4"/>
      <c r="H23" s="18"/>
      <c r="I23" s="186"/>
      <c r="J23" s="14"/>
      <c r="K23" s="5"/>
      <c r="L23" s="12"/>
      <c r="M23" s="18">
        <f t="shared" si="0"/>
        <v>0</v>
      </c>
      <c r="N23" s="192"/>
      <c r="O23" s="5"/>
      <c r="P23" s="4"/>
      <c r="Q23" s="146"/>
      <c r="R23" s="18">
        <f t="shared" si="1"/>
        <v>24</v>
      </c>
      <c r="S23" s="70"/>
    </row>
    <row r="24" spans="1:19" x14ac:dyDescent="0.3">
      <c r="A24" s="100" t="s">
        <v>76</v>
      </c>
      <c r="B24" s="24"/>
      <c r="C24" s="189"/>
      <c r="D24" s="18"/>
      <c r="E24" s="4"/>
      <c r="F24" s="18"/>
      <c r="G24" s="4"/>
      <c r="H24" s="18"/>
      <c r="I24" s="186"/>
      <c r="J24" s="14"/>
      <c r="K24" s="5"/>
      <c r="L24" s="12"/>
      <c r="M24" s="18">
        <f t="shared" si="0"/>
        <v>0</v>
      </c>
      <c r="N24" s="192"/>
      <c r="O24" s="5"/>
      <c r="P24" s="4"/>
      <c r="Q24" s="146"/>
      <c r="R24" s="18">
        <f t="shared" si="1"/>
        <v>0</v>
      </c>
      <c r="S24" s="70"/>
    </row>
    <row r="25" spans="1:19" x14ac:dyDescent="0.3">
      <c r="A25" s="3" t="s">
        <v>107</v>
      </c>
      <c r="B25" s="24">
        <v>1</v>
      </c>
      <c r="C25" s="189"/>
      <c r="D25" s="18">
        <v>1</v>
      </c>
      <c r="E25" s="4">
        <v>1</v>
      </c>
      <c r="F25" s="18">
        <v>1</v>
      </c>
      <c r="G25" s="4">
        <v>1</v>
      </c>
      <c r="H25" s="18">
        <v>1</v>
      </c>
      <c r="I25" s="186"/>
      <c r="J25" s="14">
        <v>1</v>
      </c>
      <c r="K25" s="5"/>
      <c r="L25" s="12">
        <v>1</v>
      </c>
      <c r="M25" s="18">
        <f t="shared" si="0"/>
        <v>2</v>
      </c>
      <c r="N25" s="192"/>
      <c r="O25" s="5">
        <v>1</v>
      </c>
      <c r="P25" s="4">
        <v>1</v>
      </c>
      <c r="Q25" s="146">
        <v>2</v>
      </c>
      <c r="R25" s="18">
        <f t="shared" si="1"/>
        <v>7</v>
      </c>
      <c r="S25" s="70"/>
    </row>
    <row r="26" spans="1:19" x14ac:dyDescent="0.3">
      <c r="A26" s="3" t="s">
        <v>109</v>
      </c>
      <c r="B26" s="24">
        <v>10</v>
      </c>
      <c r="C26" s="189"/>
      <c r="D26" s="18">
        <v>10</v>
      </c>
      <c r="E26" s="4">
        <v>12</v>
      </c>
      <c r="F26" s="18">
        <v>12</v>
      </c>
      <c r="G26" s="4">
        <v>10</v>
      </c>
      <c r="H26" s="18">
        <v>10</v>
      </c>
      <c r="I26" s="186"/>
      <c r="J26" s="14">
        <v>12</v>
      </c>
      <c r="K26" s="5"/>
      <c r="L26" s="12">
        <v>12</v>
      </c>
      <c r="M26" s="18">
        <f t="shared" si="0"/>
        <v>24</v>
      </c>
      <c r="N26" s="192"/>
      <c r="O26" s="5">
        <v>12</v>
      </c>
      <c r="P26" s="4">
        <v>12</v>
      </c>
      <c r="Q26" s="146">
        <v>24</v>
      </c>
      <c r="R26" s="18">
        <f t="shared" si="1"/>
        <v>80</v>
      </c>
      <c r="S26" s="70"/>
    </row>
    <row r="27" spans="1:19" x14ac:dyDescent="0.3">
      <c r="A27" s="3" t="s">
        <v>110</v>
      </c>
      <c r="B27" s="24"/>
      <c r="C27" s="189"/>
      <c r="D27" s="18"/>
      <c r="E27" s="4">
        <v>6</v>
      </c>
      <c r="F27" s="18">
        <v>6</v>
      </c>
      <c r="G27" s="4"/>
      <c r="H27" s="18"/>
      <c r="I27" s="186"/>
      <c r="J27" s="14"/>
      <c r="K27" s="5"/>
      <c r="L27" s="12"/>
      <c r="M27" s="18">
        <f t="shared" si="0"/>
        <v>0</v>
      </c>
      <c r="N27" s="192"/>
      <c r="O27" s="5"/>
      <c r="P27" s="4"/>
      <c r="Q27" s="146"/>
      <c r="R27" s="18">
        <f t="shared" si="1"/>
        <v>6</v>
      </c>
      <c r="S27" s="70"/>
    </row>
    <row r="28" spans="1:19" ht="15" thickBot="1" x14ac:dyDescent="0.35">
      <c r="A28" s="121" t="s">
        <v>104</v>
      </c>
      <c r="B28" s="149">
        <v>5</v>
      </c>
      <c r="C28" s="190"/>
      <c r="D28" s="19">
        <v>5</v>
      </c>
      <c r="E28" s="9">
        <v>5</v>
      </c>
      <c r="F28" s="97">
        <v>5</v>
      </c>
      <c r="G28" s="9">
        <v>5</v>
      </c>
      <c r="H28" s="19">
        <v>5</v>
      </c>
      <c r="I28" s="187"/>
      <c r="J28" s="15">
        <v>4</v>
      </c>
      <c r="K28" s="10">
        <v>6</v>
      </c>
      <c r="L28" s="113">
        <v>4</v>
      </c>
      <c r="M28" s="19">
        <f t="shared" si="0"/>
        <v>14</v>
      </c>
      <c r="N28" s="193"/>
      <c r="O28" s="5">
        <v>4</v>
      </c>
      <c r="P28" s="9">
        <v>4</v>
      </c>
      <c r="Q28" s="147">
        <v>8</v>
      </c>
      <c r="R28" s="19">
        <f t="shared" si="1"/>
        <v>37</v>
      </c>
      <c r="S28" s="71"/>
    </row>
    <row r="29" spans="1:19" s="106" customFormat="1" x14ac:dyDescent="0.3">
      <c r="B29" s="114"/>
      <c r="C29" s="114"/>
      <c r="D29" s="115"/>
      <c r="E29" s="114"/>
      <c r="F29" s="115"/>
      <c r="G29" s="114"/>
      <c r="H29" s="115"/>
      <c r="I29" s="114"/>
      <c r="J29" s="114"/>
      <c r="K29" s="114"/>
      <c r="L29" s="114"/>
      <c r="M29" s="115"/>
      <c r="N29" s="114"/>
      <c r="O29" s="114"/>
      <c r="P29" s="114"/>
      <c r="Q29" s="115"/>
      <c r="R29" s="115"/>
    </row>
    <row r="30" spans="1:19" s="106" customFormat="1" x14ac:dyDescent="0.3">
      <c r="A30" s="116"/>
      <c r="B30" s="114"/>
      <c r="C30" s="114"/>
      <c r="D30" s="115"/>
      <c r="E30" s="114"/>
      <c r="F30" s="115"/>
      <c r="G30" s="114"/>
      <c r="H30" s="115"/>
      <c r="I30" s="114"/>
      <c r="J30" s="114"/>
      <c r="K30" s="114"/>
      <c r="L30" s="114"/>
      <c r="M30" s="115"/>
      <c r="N30" s="114"/>
      <c r="O30" s="114"/>
      <c r="P30" s="114"/>
      <c r="Q30" s="115"/>
      <c r="R30" s="115"/>
    </row>
    <row r="31" spans="1:19" s="106" customFormat="1" x14ac:dyDescent="0.3">
      <c r="A31" s="116"/>
      <c r="B31" s="114"/>
      <c r="C31" s="114"/>
      <c r="D31" s="115"/>
      <c r="E31" s="114"/>
      <c r="F31" s="115"/>
      <c r="G31" s="114"/>
      <c r="H31" s="115"/>
      <c r="I31" s="114"/>
      <c r="J31" s="114"/>
      <c r="K31" s="114"/>
      <c r="L31" s="114"/>
      <c r="M31" s="115"/>
      <c r="N31" s="114"/>
      <c r="O31" s="114"/>
      <c r="P31" s="114"/>
      <c r="Q31" s="115"/>
      <c r="R31" s="115"/>
    </row>
    <row r="32" spans="1:19" s="106" customFormat="1" x14ac:dyDescent="0.3">
      <c r="A32" s="116"/>
      <c r="B32" s="114"/>
      <c r="C32" s="114"/>
      <c r="D32" s="115"/>
      <c r="E32" s="114"/>
      <c r="F32" s="115"/>
      <c r="G32" s="114"/>
      <c r="H32" s="115"/>
      <c r="I32" s="114"/>
      <c r="J32" s="114"/>
      <c r="K32" s="114"/>
      <c r="L32" s="114"/>
      <c r="M32" s="115"/>
      <c r="N32" s="114"/>
      <c r="O32" s="114"/>
      <c r="P32" s="114"/>
      <c r="Q32" s="115"/>
      <c r="R32" s="115"/>
    </row>
    <row r="33" spans="1:18" s="106" customFormat="1" x14ac:dyDescent="0.3">
      <c r="A33" s="116"/>
      <c r="B33" s="114"/>
      <c r="C33" s="114"/>
      <c r="D33" s="115"/>
      <c r="E33" s="114"/>
      <c r="F33" s="115"/>
      <c r="G33" s="114"/>
      <c r="H33" s="115"/>
      <c r="I33" s="114"/>
      <c r="J33" s="114"/>
      <c r="K33" s="114"/>
      <c r="L33" s="114"/>
      <c r="M33" s="115"/>
      <c r="N33" s="114"/>
      <c r="O33" s="114"/>
      <c r="P33" s="114"/>
      <c r="Q33" s="115"/>
      <c r="R33" s="115"/>
    </row>
    <row r="34" spans="1:18" s="106" customFormat="1" x14ac:dyDescent="0.3">
      <c r="A34" s="116"/>
      <c r="B34" s="114"/>
      <c r="C34" s="114"/>
      <c r="D34" s="115"/>
      <c r="E34" s="114"/>
      <c r="F34" s="115"/>
      <c r="G34" s="114"/>
      <c r="H34" s="115"/>
      <c r="I34" s="114"/>
      <c r="J34" s="114"/>
      <c r="K34" s="114"/>
      <c r="L34" s="114"/>
      <c r="M34" s="115"/>
      <c r="N34" s="114"/>
      <c r="O34" s="114"/>
      <c r="P34" s="114"/>
      <c r="Q34" s="115"/>
      <c r="R34" s="115"/>
    </row>
    <row r="35" spans="1:18" s="106" customFormat="1" x14ac:dyDescent="0.3">
      <c r="A35" s="116"/>
      <c r="B35" s="114"/>
      <c r="C35" s="114"/>
      <c r="D35" s="115"/>
      <c r="E35" s="114"/>
      <c r="F35" s="115"/>
      <c r="G35" s="114"/>
      <c r="H35" s="115"/>
      <c r="I35" s="114"/>
      <c r="J35" s="114"/>
      <c r="K35" s="114"/>
      <c r="L35" s="114"/>
      <c r="M35" s="115"/>
      <c r="N35" s="114"/>
      <c r="O35" s="114"/>
      <c r="P35" s="114"/>
      <c r="Q35" s="115"/>
      <c r="R35" s="115"/>
    </row>
    <row r="36" spans="1:18" s="106" customFormat="1" x14ac:dyDescent="0.3">
      <c r="A36" s="117"/>
      <c r="B36" s="114"/>
      <c r="C36" s="114"/>
      <c r="D36" s="115"/>
      <c r="E36" s="114"/>
      <c r="F36" s="115"/>
      <c r="G36" s="114"/>
      <c r="H36" s="115"/>
      <c r="I36" s="114"/>
      <c r="J36" s="114"/>
      <c r="K36" s="114"/>
      <c r="L36" s="114"/>
      <c r="M36" s="115"/>
      <c r="N36" s="114"/>
      <c r="O36" s="114"/>
      <c r="P36" s="114"/>
      <c r="Q36" s="115"/>
      <c r="R36" s="115"/>
    </row>
    <row r="37" spans="1:18" s="106" customFormat="1" x14ac:dyDescent="0.3">
      <c r="A37" s="116"/>
      <c r="B37" s="114"/>
      <c r="C37" s="114"/>
      <c r="D37" s="115"/>
      <c r="E37" s="114"/>
      <c r="F37" s="115"/>
      <c r="G37" s="114"/>
      <c r="H37" s="115"/>
      <c r="I37" s="114"/>
      <c r="J37" s="114"/>
      <c r="K37" s="114"/>
      <c r="L37" s="114"/>
      <c r="M37" s="115"/>
      <c r="N37" s="114"/>
      <c r="O37" s="114"/>
      <c r="P37" s="114"/>
      <c r="Q37" s="115"/>
      <c r="R37" s="115"/>
    </row>
    <row r="38" spans="1:18" s="106" customFormat="1" x14ac:dyDescent="0.3">
      <c r="A38" s="116"/>
      <c r="B38" s="114"/>
      <c r="C38" s="114"/>
      <c r="D38" s="115"/>
      <c r="E38" s="114"/>
      <c r="F38" s="115"/>
      <c r="G38" s="114"/>
      <c r="H38" s="115"/>
      <c r="I38" s="114"/>
      <c r="J38" s="114"/>
      <c r="K38" s="114"/>
      <c r="L38" s="114"/>
      <c r="M38" s="115"/>
      <c r="N38" s="114"/>
      <c r="O38" s="114"/>
      <c r="P38" s="114"/>
      <c r="Q38" s="115"/>
      <c r="R38" s="115"/>
    </row>
    <row r="39" spans="1:18" s="106" customFormat="1" x14ac:dyDescent="0.3">
      <c r="A39" s="116"/>
      <c r="B39" s="114"/>
      <c r="C39" s="114"/>
      <c r="D39" s="115"/>
      <c r="E39" s="114"/>
      <c r="F39" s="115"/>
      <c r="G39" s="114"/>
      <c r="H39" s="115"/>
      <c r="I39" s="114"/>
      <c r="J39" s="114"/>
      <c r="K39" s="114"/>
      <c r="L39" s="114"/>
      <c r="M39" s="115"/>
      <c r="N39" s="114"/>
      <c r="O39" s="114"/>
      <c r="P39" s="114"/>
      <c r="Q39" s="115"/>
      <c r="R39" s="115"/>
    </row>
    <row r="40" spans="1:18" s="106" customFormat="1" x14ac:dyDescent="0.3">
      <c r="A40" s="116"/>
      <c r="B40" s="114"/>
      <c r="C40" s="114"/>
      <c r="D40" s="115"/>
      <c r="E40" s="114"/>
      <c r="F40" s="115"/>
      <c r="G40" s="114"/>
      <c r="H40" s="115"/>
      <c r="I40" s="114"/>
      <c r="J40" s="114"/>
      <c r="K40" s="114"/>
      <c r="L40" s="114"/>
      <c r="M40" s="115"/>
      <c r="N40" s="114"/>
      <c r="O40" s="114"/>
      <c r="P40" s="114"/>
      <c r="Q40" s="115"/>
      <c r="R40" s="115"/>
    </row>
    <row r="41" spans="1:18" s="106" customFormat="1" x14ac:dyDescent="0.3">
      <c r="A41" s="116"/>
      <c r="B41" s="114"/>
      <c r="C41" s="114"/>
      <c r="D41" s="115"/>
      <c r="E41" s="114"/>
      <c r="F41" s="115"/>
      <c r="G41" s="114"/>
      <c r="H41" s="115"/>
      <c r="I41" s="114"/>
      <c r="J41" s="114"/>
      <c r="K41" s="114"/>
      <c r="L41" s="114"/>
      <c r="M41" s="115"/>
      <c r="N41" s="114"/>
      <c r="O41" s="114"/>
      <c r="P41" s="114"/>
      <c r="Q41" s="115"/>
      <c r="R41" s="115"/>
    </row>
    <row r="42" spans="1:18" s="106" customFormat="1" x14ac:dyDescent="0.3">
      <c r="A42" s="116"/>
      <c r="B42" s="114"/>
      <c r="C42" s="114"/>
      <c r="D42" s="115"/>
      <c r="E42" s="114"/>
      <c r="F42" s="115"/>
      <c r="G42" s="114"/>
      <c r="H42" s="115"/>
      <c r="I42" s="114"/>
      <c r="J42" s="114"/>
      <c r="K42" s="114"/>
      <c r="L42" s="114"/>
      <c r="M42" s="115"/>
      <c r="N42" s="114"/>
      <c r="O42" s="114"/>
      <c r="P42" s="114"/>
      <c r="Q42" s="115"/>
      <c r="R42" s="115"/>
    </row>
    <row r="43" spans="1:18" s="106" customFormat="1" x14ac:dyDescent="0.3">
      <c r="A43" s="116"/>
      <c r="B43" s="114"/>
      <c r="C43" s="114"/>
      <c r="D43" s="115"/>
      <c r="E43" s="114"/>
      <c r="F43" s="115"/>
      <c r="G43" s="114"/>
      <c r="H43" s="115"/>
      <c r="I43" s="114"/>
      <c r="J43" s="114"/>
      <c r="K43" s="114"/>
      <c r="L43" s="114"/>
      <c r="M43" s="115"/>
      <c r="N43" s="114"/>
      <c r="O43" s="114"/>
      <c r="P43" s="114"/>
      <c r="Q43" s="115"/>
      <c r="R43" s="115"/>
    </row>
    <row r="44" spans="1:18" s="106" customFormat="1" x14ac:dyDescent="0.3">
      <c r="A44" s="116"/>
      <c r="B44" s="114"/>
      <c r="C44" s="114"/>
      <c r="D44" s="115"/>
      <c r="E44" s="114"/>
      <c r="F44" s="115"/>
      <c r="G44" s="114"/>
      <c r="H44" s="115"/>
      <c r="I44" s="114"/>
      <c r="J44" s="114"/>
      <c r="K44" s="114"/>
      <c r="L44" s="114"/>
      <c r="M44" s="115"/>
      <c r="N44" s="114"/>
      <c r="O44" s="114"/>
      <c r="P44" s="114"/>
      <c r="Q44" s="115"/>
      <c r="R44" s="115"/>
    </row>
    <row r="45" spans="1:18" s="106" customFormat="1" x14ac:dyDescent="0.3">
      <c r="A45" s="116"/>
      <c r="B45" s="114"/>
      <c r="C45" s="114"/>
      <c r="D45" s="115"/>
      <c r="E45" s="114"/>
      <c r="F45" s="115"/>
      <c r="G45" s="114"/>
      <c r="H45" s="115"/>
      <c r="I45" s="114"/>
      <c r="J45" s="114"/>
      <c r="K45" s="114"/>
      <c r="L45" s="114"/>
      <c r="M45" s="115"/>
      <c r="N45" s="114"/>
      <c r="O45" s="114"/>
      <c r="P45" s="114"/>
      <c r="Q45" s="115"/>
      <c r="R45" s="115"/>
    </row>
    <row r="46" spans="1:18" s="106" customFormat="1" x14ac:dyDescent="0.3">
      <c r="A46" s="116"/>
      <c r="B46" s="114"/>
      <c r="C46" s="114"/>
      <c r="D46" s="115"/>
      <c r="E46" s="114"/>
      <c r="F46" s="115"/>
      <c r="G46" s="114"/>
      <c r="H46" s="115"/>
      <c r="I46" s="114"/>
      <c r="J46" s="114"/>
      <c r="K46" s="114"/>
      <c r="L46" s="114"/>
      <c r="M46" s="115"/>
      <c r="N46" s="114"/>
      <c r="O46" s="114"/>
      <c r="P46" s="114"/>
      <c r="Q46" s="115"/>
      <c r="R46" s="115"/>
    </row>
    <row r="47" spans="1:18" s="106" customFormat="1" x14ac:dyDescent="0.3">
      <c r="A47" s="116"/>
      <c r="B47" s="114"/>
      <c r="C47" s="114"/>
      <c r="D47" s="115"/>
      <c r="E47" s="114"/>
      <c r="F47" s="115"/>
      <c r="G47" s="114"/>
      <c r="H47" s="115"/>
      <c r="I47" s="114"/>
      <c r="J47" s="114"/>
      <c r="K47" s="114"/>
      <c r="L47" s="114"/>
      <c r="M47" s="115"/>
      <c r="N47" s="114"/>
      <c r="O47" s="114"/>
      <c r="P47" s="114"/>
      <c r="Q47" s="115"/>
      <c r="R47" s="115"/>
    </row>
    <row r="48" spans="1:18" s="106" customFormat="1" x14ac:dyDescent="0.3">
      <c r="A48" s="116"/>
      <c r="B48" s="114"/>
      <c r="C48" s="114"/>
      <c r="D48" s="115"/>
      <c r="E48" s="114"/>
      <c r="F48" s="115"/>
      <c r="G48" s="114"/>
      <c r="H48" s="115"/>
      <c r="I48" s="114"/>
      <c r="J48" s="114"/>
      <c r="K48" s="114"/>
      <c r="L48" s="114"/>
      <c r="M48" s="115"/>
      <c r="N48" s="114"/>
      <c r="O48" s="114"/>
      <c r="P48" s="114"/>
      <c r="Q48" s="115"/>
      <c r="R48" s="115"/>
    </row>
    <row r="49" spans="1:18" s="106" customFormat="1" x14ac:dyDescent="0.3">
      <c r="A49" s="116"/>
      <c r="B49" s="114"/>
      <c r="D49" s="115"/>
      <c r="E49" s="114"/>
      <c r="F49" s="115"/>
      <c r="G49" s="114"/>
      <c r="H49" s="115"/>
      <c r="I49" s="114"/>
      <c r="J49" s="114"/>
      <c r="K49" s="114"/>
      <c r="L49" s="114"/>
      <c r="M49" s="115"/>
      <c r="N49" s="114"/>
      <c r="O49" s="114"/>
      <c r="P49" s="114"/>
      <c r="Q49" s="115"/>
      <c r="R49" s="115"/>
    </row>
    <row r="50" spans="1:18" s="106" customFormat="1" x14ac:dyDescent="0.3">
      <c r="A50" s="116"/>
      <c r="B50" s="114"/>
      <c r="D50" s="115"/>
      <c r="E50" s="114"/>
      <c r="F50" s="115"/>
      <c r="G50" s="114"/>
      <c r="H50" s="115"/>
      <c r="I50" s="114"/>
      <c r="J50" s="114"/>
      <c r="K50" s="114"/>
      <c r="L50" s="114"/>
      <c r="M50" s="115"/>
      <c r="N50" s="114"/>
      <c r="O50" s="114"/>
      <c r="P50" s="114"/>
      <c r="Q50" s="115"/>
      <c r="R50" s="115"/>
    </row>
    <row r="51" spans="1:18" s="106" customFormat="1" x14ac:dyDescent="0.3">
      <c r="A51" s="116"/>
      <c r="B51" s="114"/>
      <c r="D51" s="115"/>
      <c r="E51" s="114"/>
      <c r="F51" s="115"/>
      <c r="G51" s="114"/>
      <c r="H51" s="115"/>
      <c r="I51" s="114"/>
      <c r="J51" s="114"/>
      <c r="K51" s="114"/>
      <c r="L51" s="114"/>
      <c r="M51" s="115"/>
      <c r="N51" s="114"/>
      <c r="O51" s="114"/>
      <c r="P51" s="114"/>
      <c r="Q51" s="115"/>
      <c r="R51" s="115"/>
    </row>
    <row r="52" spans="1:18" s="106" customFormat="1" x14ac:dyDescent="0.3">
      <c r="A52" s="116"/>
      <c r="B52" s="114"/>
      <c r="D52" s="115"/>
      <c r="E52" s="114"/>
      <c r="F52" s="115"/>
      <c r="G52" s="114"/>
      <c r="H52" s="115"/>
      <c r="I52" s="114"/>
      <c r="J52" s="114"/>
      <c r="K52" s="114"/>
      <c r="L52" s="114"/>
      <c r="M52" s="115"/>
      <c r="N52" s="114"/>
      <c r="O52" s="114"/>
      <c r="P52" s="114"/>
      <c r="Q52" s="115"/>
      <c r="R52" s="115"/>
    </row>
    <row r="53" spans="1:18" s="106" customFormat="1" x14ac:dyDescent="0.3">
      <c r="A53" s="116"/>
      <c r="B53" s="114"/>
      <c r="D53" s="115"/>
      <c r="E53" s="114"/>
      <c r="F53" s="115"/>
      <c r="G53" s="114"/>
      <c r="H53" s="115"/>
      <c r="I53" s="114"/>
      <c r="J53" s="114"/>
      <c r="K53" s="114"/>
      <c r="L53" s="114"/>
      <c r="M53" s="115"/>
      <c r="N53" s="114"/>
      <c r="O53" s="114"/>
      <c r="P53" s="114"/>
      <c r="Q53" s="115"/>
      <c r="R53" s="115"/>
    </row>
    <row r="54" spans="1:18" s="106" customFormat="1" x14ac:dyDescent="0.3">
      <c r="A54" s="116"/>
      <c r="B54" s="114"/>
      <c r="D54" s="115"/>
      <c r="E54" s="114"/>
      <c r="F54" s="115"/>
      <c r="G54" s="114"/>
      <c r="H54" s="115"/>
      <c r="I54" s="114"/>
      <c r="J54" s="114"/>
      <c r="K54" s="114"/>
      <c r="L54" s="114"/>
      <c r="M54" s="115"/>
      <c r="N54" s="114"/>
      <c r="O54" s="114"/>
      <c r="P54" s="114"/>
      <c r="Q54" s="115"/>
      <c r="R54" s="115"/>
    </row>
    <row r="55" spans="1:18" s="106" customFormat="1" x14ac:dyDescent="0.3">
      <c r="A55" s="116"/>
      <c r="B55" s="114"/>
      <c r="D55" s="115"/>
      <c r="E55" s="114"/>
      <c r="F55" s="115"/>
      <c r="G55" s="114"/>
      <c r="H55" s="115"/>
      <c r="I55" s="114"/>
      <c r="J55" s="114"/>
      <c r="K55" s="114"/>
      <c r="L55" s="114"/>
      <c r="M55" s="115"/>
      <c r="N55" s="114"/>
      <c r="O55" s="114"/>
      <c r="P55" s="114"/>
      <c r="Q55" s="115"/>
      <c r="R55" s="115"/>
    </row>
    <row r="56" spans="1:18" s="106" customFormat="1" x14ac:dyDescent="0.3">
      <c r="A56" s="116"/>
      <c r="B56" s="114"/>
      <c r="D56" s="115"/>
      <c r="E56" s="114"/>
      <c r="F56" s="115"/>
      <c r="G56" s="114"/>
      <c r="H56" s="115"/>
      <c r="I56" s="114"/>
      <c r="J56" s="114"/>
      <c r="K56" s="114"/>
      <c r="L56" s="114"/>
      <c r="M56" s="115"/>
      <c r="N56" s="114"/>
      <c r="O56" s="114"/>
      <c r="P56" s="114"/>
      <c r="Q56" s="115"/>
      <c r="R56" s="115"/>
    </row>
    <row r="57" spans="1:18" s="106" customFormat="1" x14ac:dyDescent="0.3">
      <c r="A57" s="116"/>
      <c r="B57" s="114"/>
      <c r="D57" s="115"/>
      <c r="E57" s="114"/>
      <c r="F57" s="115"/>
      <c r="G57" s="114"/>
      <c r="H57" s="115"/>
      <c r="I57" s="114"/>
      <c r="J57" s="114"/>
      <c r="K57" s="114"/>
      <c r="L57" s="114"/>
      <c r="M57" s="115"/>
      <c r="N57" s="114"/>
      <c r="O57" s="114"/>
      <c r="P57" s="114"/>
      <c r="Q57" s="115"/>
      <c r="R57" s="115"/>
    </row>
    <row r="58" spans="1:18" s="106" customFormat="1" x14ac:dyDescent="0.3">
      <c r="A58" s="116"/>
      <c r="B58" s="114"/>
      <c r="C58" s="118"/>
      <c r="D58" s="115"/>
      <c r="E58" s="114"/>
      <c r="F58" s="115"/>
      <c r="G58" s="114"/>
      <c r="H58" s="115"/>
      <c r="I58" s="114"/>
      <c r="J58" s="114"/>
      <c r="K58" s="114"/>
      <c r="L58" s="114"/>
      <c r="M58" s="115"/>
      <c r="N58" s="114"/>
      <c r="O58" s="114"/>
      <c r="P58" s="114"/>
      <c r="Q58" s="115"/>
      <c r="R58" s="115"/>
    </row>
    <row r="59" spans="1:18" s="106" customFormat="1" x14ac:dyDescent="0.3">
      <c r="A59" s="116"/>
      <c r="B59" s="114"/>
      <c r="C59" s="114"/>
      <c r="D59" s="115"/>
      <c r="E59" s="114"/>
      <c r="F59" s="115"/>
      <c r="G59" s="114"/>
      <c r="H59" s="115"/>
      <c r="I59" s="114"/>
      <c r="J59" s="114"/>
      <c r="K59" s="114"/>
      <c r="L59" s="114"/>
      <c r="M59" s="115"/>
      <c r="N59" s="114"/>
      <c r="O59" s="114"/>
      <c r="P59" s="114"/>
      <c r="Q59" s="115"/>
      <c r="R59" s="115"/>
    </row>
    <row r="60" spans="1:18" s="106" customFormat="1" x14ac:dyDescent="0.3">
      <c r="A60" s="116"/>
      <c r="B60" s="114"/>
      <c r="C60" s="114"/>
      <c r="D60" s="115"/>
      <c r="E60" s="114"/>
      <c r="F60" s="115"/>
      <c r="G60" s="114"/>
      <c r="H60" s="115"/>
      <c r="I60" s="114"/>
      <c r="J60" s="114"/>
      <c r="K60" s="114"/>
      <c r="L60" s="114"/>
      <c r="M60" s="115"/>
      <c r="N60" s="114"/>
      <c r="O60" s="114"/>
      <c r="P60" s="114"/>
      <c r="Q60" s="115"/>
      <c r="R60" s="115"/>
    </row>
    <row r="61" spans="1:18" s="106" customFormat="1" x14ac:dyDescent="0.3">
      <c r="A61" s="119"/>
      <c r="B61" s="114"/>
      <c r="C61" s="114"/>
      <c r="D61" s="115"/>
      <c r="E61" s="114"/>
      <c r="F61" s="115"/>
      <c r="G61" s="114"/>
      <c r="H61" s="115"/>
      <c r="I61" s="114"/>
      <c r="J61" s="114"/>
      <c r="K61" s="114"/>
      <c r="L61" s="114"/>
      <c r="M61" s="115"/>
      <c r="N61" s="114"/>
      <c r="O61" s="114"/>
      <c r="P61" s="114"/>
      <c r="Q61" s="115"/>
      <c r="R61" s="115"/>
    </row>
    <row r="62" spans="1:18" s="106" customFormat="1" x14ac:dyDescent="0.3">
      <c r="A62" s="116"/>
      <c r="B62" s="114"/>
      <c r="C62" s="118"/>
      <c r="D62" s="115"/>
      <c r="E62" s="114"/>
      <c r="F62" s="115"/>
      <c r="G62" s="114"/>
      <c r="H62" s="115"/>
      <c r="I62" s="114"/>
      <c r="J62" s="114"/>
      <c r="K62" s="114"/>
      <c r="L62" s="114"/>
      <c r="M62" s="115"/>
      <c r="N62" s="114"/>
      <c r="O62" s="114"/>
      <c r="P62" s="114"/>
      <c r="Q62" s="115"/>
      <c r="R62" s="115"/>
    </row>
    <row r="63" spans="1:18" s="106" customFormat="1" x14ac:dyDescent="0.3">
      <c r="A63" s="116"/>
      <c r="B63" s="114"/>
      <c r="C63" s="118"/>
      <c r="D63" s="115"/>
      <c r="E63" s="114"/>
      <c r="F63" s="115"/>
      <c r="G63" s="114"/>
      <c r="H63" s="115"/>
      <c r="I63" s="114"/>
      <c r="J63" s="114"/>
      <c r="K63" s="114"/>
      <c r="L63" s="114"/>
      <c r="M63" s="115"/>
      <c r="N63" s="114"/>
      <c r="O63" s="114"/>
      <c r="P63" s="114"/>
      <c r="Q63" s="115"/>
      <c r="R63" s="115"/>
    </row>
    <row r="64" spans="1:18" s="106" customFormat="1" x14ac:dyDescent="0.3">
      <c r="A64" s="116"/>
      <c r="B64" s="114"/>
      <c r="C64" s="118"/>
      <c r="D64" s="115"/>
      <c r="E64" s="114"/>
      <c r="F64" s="115"/>
      <c r="G64" s="114"/>
      <c r="H64" s="115"/>
      <c r="I64" s="114"/>
      <c r="J64" s="114"/>
      <c r="K64" s="114"/>
      <c r="L64" s="114"/>
      <c r="M64" s="115"/>
      <c r="N64" s="114"/>
      <c r="O64" s="114"/>
      <c r="P64" s="114"/>
      <c r="Q64" s="115"/>
      <c r="R64" s="115"/>
    </row>
    <row r="65" spans="1:18" s="106" customFormat="1" x14ac:dyDescent="0.3">
      <c r="A65" s="116"/>
      <c r="B65" s="114"/>
      <c r="C65" s="118"/>
      <c r="D65" s="115"/>
      <c r="E65" s="114"/>
      <c r="F65" s="115"/>
      <c r="G65" s="114"/>
      <c r="H65" s="115"/>
      <c r="I65" s="114"/>
      <c r="J65" s="114"/>
      <c r="K65" s="114"/>
      <c r="L65" s="114"/>
      <c r="M65" s="115"/>
      <c r="N65" s="114"/>
      <c r="O65" s="114"/>
      <c r="P65" s="114"/>
      <c r="Q65" s="115"/>
      <c r="R65" s="115"/>
    </row>
    <row r="66" spans="1:18" s="106" customFormat="1" x14ac:dyDescent="0.3">
      <c r="A66" s="116"/>
      <c r="B66" s="114"/>
      <c r="C66" s="118"/>
      <c r="D66" s="115"/>
      <c r="E66" s="114"/>
      <c r="F66" s="115"/>
      <c r="G66" s="114"/>
      <c r="H66" s="115"/>
      <c r="I66" s="114"/>
      <c r="J66" s="114"/>
      <c r="K66" s="114"/>
      <c r="L66" s="114"/>
      <c r="M66" s="115"/>
      <c r="N66" s="114"/>
      <c r="O66" s="114"/>
      <c r="P66" s="114"/>
      <c r="Q66" s="115"/>
      <c r="R66" s="115"/>
    </row>
    <row r="67" spans="1:18" s="106" customFormat="1" x14ac:dyDescent="0.3">
      <c r="A67" s="116"/>
      <c r="B67" s="114"/>
      <c r="C67" s="118"/>
      <c r="D67" s="115"/>
      <c r="E67" s="114"/>
      <c r="F67" s="115"/>
      <c r="G67" s="114"/>
      <c r="H67" s="115"/>
      <c r="I67" s="114"/>
      <c r="J67" s="114"/>
      <c r="K67" s="114"/>
      <c r="L67" s="114"/>
      <c r="M67" s="115"/>
      <c r="N67" s="114"/>
      <c r="O67" s="114"/>
      <c r="P67" s="114"/>
      <c r="Q67" s="115"/>
      <c r="R67" s="115"/>
    </row>
    <row r="68" spans="1:18" s="106" customFormat="1" x14ac:dyDescent="0.3">
      <c r="A68" s="116"/>
      <c r="B68" s="114"/>
      <c r="C68" s="118"/>
      <c r="D68" s="115"/>
      <c r="E68" s="114"/>
      <c r="F68" s="115"/>
      <c r="G68" s="114"/>
      <c r="H68" s="115"/>
      <c r="I68" s="114"/>
      <c r="J68" s="114"/>
      <c r="K68" s="114"/>
      <c r="L68" s="114"/>
      <c r="M68" s="115"/>
      <c r="N68" s="114"/>
      <c r="O68" s="114"/>
      <c r="P68" s="114"/>
      <c r="Q68" s="115"/>
      <c r="R68" s="115"/>
    </row>
    <row r="69" spans="1:18" s="106" customFormat="1" x14ac:dyDescent="0.3">
      <c r="A69" s="116"/>
      <c r="B69" s="114"/>
      <c r="C69" s="118"/>
      <c r="D69" s="115"/>
      <c r="E69" s="114"/>
      <c r="F69" s="115"/>
      <c r="G69" s="114"/>
      <c r="H69" s="115"/>
      <c r="I69" s="114"/>
      <c r="J69" s="114"/>
      <c r="K69" s="114"/>
      <c r="L69" s="114"/>
      <c r="M69" s="115"/>
      <c r="N69" s="114"/>
      <c r="O69" s="114"/>
      <c r="P69" s="114"/>
      <c r="Q69" s="115"/>
      <c r="R69" s="115"/>
    </row>
    <row r="70" spans="1:18" s="106" customFormat="1" x14ac:dyDescent="0.3">
      <c r="A70" s="116"/>
      <c r="B70" s="114"/>
      <c r="C70" s="118"/>
      <c r="D70" s="115"/>
      <c r="E70" s="114"/>
      <c r="F70" s="115"/>
      <c r="G70" s="114"/>
      <c r="H70" s="115"/>
      <c r="I70" s="114"/>
      <c r="J70" s="114"/>
      <c r="K70" s="114"/>
      <c r="L70" s="114"/>
      <c r="M70" s="115"/>
      <c r="N70" s="114"/>
      <c r="O70" s="114"/>
      <c r="P70" s="114"/>
      <c r="Q70" s="115"/>
      <c r="R70" s="115"/>
    </row>
    <row r="71" spans="1:18" s="106" customFormat="1" x14ac:dyDescent="0.3">
      <c r="A71" s="117"/>
      <c r="B71" s="114"/>
      <c r="C71" s="118"/>
      <c r="D71" s="115"/>
      <c r="E71" s="114"/>
      <c r="F71" s="115"/>
      <c r="G71" s="114"/>
      <c r="H71" s="115"/>
      <c r="I71" s="114"/>
      <c r="J71" s="114"/>
      <c r="K71" s="114"/>
      <c r="L71" s="114"/>
      <c r="M71" s="115"/>
      <c r="N71" s="114"/>
      <c r="O71" s="114"/>
      <c r="P71" s="114"/>
      <c r="Q71" s="115"/>
      <c r="R71" s="115"/>
    </row>
    <row r="72" spans="1:18" s="106" customFormat="1" x14ac:dyDescent="0.3">
      <c r="A72" s="117"/>
      <c r="B72" s="114"/>
      <c r="C72" s="118"/>
      <c r="D72" s="115"/>
      <c r="E72" s="114"/>
      <c r="F72" s="115"/>
      <c r="G72" s="114"/>
      <c r="H72" s="115"/>
      <c r="I72" s="114"/>
      <c r="J72" s="114"/>
      <c r="K72" s="114"/>
      <c r="L72" s="114"/>
      <c r="M72" s="115"/>
      <c r="N72" s="114"/>
      <c r="O72" s="114"/>
      <c r="P72" s="114"/>
      <c r="Q72" s="115"/>
      <c r="R72" s="115"/>
    </row>
    <row r="73" spans="1:18" s="106" customFormat="1" x14ac:dyDescent="0.3">
      <c r="A73" s="116"/>
      <c r="B73" s="114"/>
      <c r="C73" s="118"/>
      <c r="D73" s="115"/>
      <c r="E73" s="114"/>
      <c r="F73" s="115"/>
      <c r="G73" s="114"/>
      <c r="H73" s="115"/>
      <c r="I73" s="114"/>
      <c r="J73" s="114"/>
      <c r="K73" s="114"/>
      <c r="L73" s="114"/>
      <c r="M73" s="115"/>
      <c r="N73" s="114"/>
      <c r="O73" s="114"/>
      <c r="P73" s="114"/>
      <c r="Q73" s="115"/>
      <c r="R73" s="115"/>
    </row>
    <row r="74" spans="1:18" s="106" customFormat="1" x14ac:dyDescent="0.3">
      <c r="A74" s="117"/>
      <c r="B74" s="114"/>
      <c r="C74" s="118"/>
      <c r="D74" s="115"/>
      <c r="E74" s="114"/>
      <c r="F74" s="115"/>
      <c r="G74" s="114"/>
      <c r="H74" s="115"/>
      <c r="I74" s="114"/>
      <c r="J74" s="114"/>
      <c r="K74" s="114"/>
      <c r="L74" s="114"/>
      <c r="M74" s="115"/>
      <c r="N74" s="114"/>
      <c r="O74" s="114"/>
      <c r="P74" s="114"/>
      <c r="Q74" s="115"/>
      <c r="R74" s="115"/>
    </row>
    <row r="75" spans="1:18" s="106" customFormat="1" x14ac:dyDescent="0.3">
      <c r="A75" s="116"/>
      <c r="B75" s="114"/>
      <c r="C75" s="118"/>
      <c r="D75" s="115"/>
      <c r="E75" s="114"/>
      <c r="F75" s="115"/>
      <c r="G75" s="114"/>
      <c r="H75" s="115"/>
      <c r="I75" s="114"/>
      <c r="J75" s="114"/>
      <c r="K75" s="114"/>
      <c r="L75" s="114"/>
      <c r="M75" s="115"/>
      <c r="N75" s="114"/>
      <c r="O75" s="114"/>
      <c r="P75" s="114"/>
      <c r="Q75" s="115"/>
      <c r="R75" s="115"/>
    </row>
    <row r="76" spans="1:18" s="106" customFormat="1" x14ac:dyDescent="0.3">
      <c r="A76" s="116"/>
      <c r="B76" s="114"/>
      <c r="C76" s="118"/>
      <c r="D76" s="115"/>
      <c r="E76" s="114"/>
      <c r="F76" s="115"/>
      <c r="G76" s="114"/>
      <c r="H76" s="115"/>
      <c r="I76" s="114"/>
      <c r="J76" s="114"/>
      <c r="K76" s="114"/>
      <c r="L76" s="114"/>
      <c r="M76" s="115"/>
      <c r="N76" s="114"/>
      <c r="O76" s="114"/>
      <c r="P76" s="114"/>
      <c r="Q76" s="115"/>
      <c r="R76" s="115"/>
    </row>
    <row r="77" spans="1:18" s="106" customFormat="1" x14ac:dyDescent="0.3">
      <c r="A77" s="116"/>
      <c r="B77" s="114"/>
      <c r="C77" s="118"/>
      <c r="D77" s="115"/>
      <c r="E77" s="114"/>
      <c r="F77" s="115"/>
      <c r="G77" s="114"/>
      <c r="H77" s="115"/>
      <c r="I77" s="114"/>
      <c r="J77" s="114"/>
      <c r="K77" s="114"/>
      <c r="L77" s="114"/>
      <c r="M77" s="115"/>
      <c r="N77" s="114"/>
      <c r="O77" s="114"/>
      <c r="P77" s="114"/>
      <c r="Q77" s="115"/>
      <c r="R77" s="115"/>
    </row>
    <row r="78" spans="1:18" s="106" customFormat="1" x14ac:dyDescent="0.3">
      <c r="A78" s="116"/>
      <c r="B78" s="114"/>
      <c r="C78" s="118"/>
      <c r="D78" s="115"/>
      <c r="E78" s="114"/>
      <c r="F78" s="115"/>
      <c r="G78" s="114"/>
      <c r="H78" s="115"/>
      <c r="I78" s="114"/>
      <c r="J78" s="114"/>
      <c r="K78" s="114"/>
      <c r="L78" s="114"/>
      <c r="M78" s="115"/>
      <c r="N78" s="114"/>
      <c r="O78" s="114"/>
      <c r="P78" s="114"/>
      <c r="Q78" s="115"/>
      <c r="R78" s="115"/>
    </row>
    <row r="79" spans="1:18" s="106" customFormat="1" x14ac:dyDescent="0.3">
      <c r="A79" s="116"/>
      <c r="B79" s="114"/>
      <c r="C79" s="118"/>
      <c r="D79" s="115"/>
      <c r="E79" s="114"/>
      <c r="F79" s="115"/>
      <c r="G79" s="114"/>
      <c r="H79" s="115"/>
      <c r="I79" s="114"/>
      <c r="J79" s="114"/>
      <c r="K79" s="114"/>
      <c r="L79" s="114"/>
      <c r="M79" s="115"/>
      <c r="N79" s="114"/>
      <c r="O79" s="114"/>
      <c r="P79" s="114"/>
      <c r="Q79" s="115"/>
      <c r="R79" s="115"/>
    </row>
    <row r="80" spans="1:18" s="106" customFormat="1" x14ac:dyDescent="0.3">
      <c r="A80" s="116"/>
      <c r="B80" s="114"/>
      <c r="C80" s="118"/>
      <c r="D80" s="115"/>
      <c r="E80" s="114"/>
      <c r="F80" s="115"/>
      <c r="G80" s="114"/>
      <c r="H80" s="115"/>
      <c r="I80" s="114"/>
      <c r="J80" s="114"/>
      <c r="K80" s="114"/>
      <c r="L80" s="114"/>
      <c r="M80" s="115"/>
      <c r="N80" s="114"/>
      <c r="O80" s="114"/>
      <c r="P80" s="114"/>
      <c r="Q80" s="115"/>
      <c r="R80" s="115"/>
    </row>
    <row r="81" spans="1:18" s="106" customFormat="1" x14ac:dyDescent="0.3">
      <c r="A81" s="116"/>
      <c r="B81" s="114"/>
      <c r="C81" s="118"/>
      <c r="D81" s="115"/>
      <c r="E81" s="114"/>
      <c r="F81" s="115"/>
      <c r="G81" s="114"/>
      <c r="H81" s="115"/>
      <c r="I81" s="114"/>
      <c r="J81" s="114"/>
      <c r="K81" s="114"/>
      <c r="L81" s="114"/>
      <c r="M81" s="115"/>
      <c r="N81" s="114"/>
      <c r="O81" s="114"/>
      <c r="P81" s="114"/>
      <c r="Q81" s="115"/>
      <c r="R81" s="115"/>
    </row>
    <row r="82" spans="1:18" s="106" customFormat="1" x14ac:dyDescent="0.3">
      <c r="A82" s="116"/>
      <c r="B82" s="114"/>
      <c r="C82" s="118"/>
      <c r="D82" s="115"/>
      <c r="E82" s="114"/>
      <c r="F82" s="115"/>
      <c r="G82" s="114"/>
      <c r="H82" s="115"/>
      <c r="I82" s="114"/>
      <c r="J82" s="114"/>
      <c r="K82" s="114"/>
      <c r="L82" s="114"/>
      <c r="M82" s="115"/>
      <c r="N82" s="114"/>
      <c r="O82" s="114"/>
      <c r="P82" s="114"/>
      <c r="Q82" s="115"/>
      <c r="R82" s="115"/>
    </row>
    <row r="83" spans="1:18" s="106" customFormat="1" x14ac:dyDescent="0.3">
      <c r="A83" s="116"/>
      <c r="B83" s="114"/>
      <c r="C83" s="118"/>
      <c r="D83" s="115"/>
      <c r="E83" s="114"/>
      <c r="F83" s="115"/>
      <c r="G83" s="114"/>
      <c r="H83" s="115"/>
      <c r="I83" s="114"/>
      <c r="J83" s="114"/>
      <c r="K83" s="114"/>
      <c r="L83" s="114"/>
      <c r="M83" s="115"/>
      <c r="N83" s="114"/>
      <c r="O83" s="114"/>
      <c r="P83" s="114"/>
      <c r="Q83" s="115"/>
      <c r="R83" s="115"/>
    </row>
    <row r="84" spans="1:18" s="106" customFormat="1" x14ac:dyDescent="0.3">
      <c r="A84" s="116"/>
      <c r="B84" s="114"/>
      <c r="C84" s="118"/>
      <c r="D84" s="115"/>
      <c r="E84" s="114"/>
      <c r="F84" s="115"/>
      <c r="G84" s="114"/>
      <c r="H84" s="115"/>
      <c r="I84" s="114"/>
      <c r="J84" s="114"/>
      <c r="K84" s="114"/>
      <c r="L84" s="114"/>
      <c r="M84" s="115"/>
      <c r="N84" s="114"/>
      <c r="O84" s="114"/>
      <c r="P84" s="114"/>
      <c r="Q84" s="115"/>
      <c r="R84" s="115"/>
    </row>
    <row r="85" spans="1:18" s="106" customFormat="1" x14ac:dyDescent="0.3"/>
    <row r="86" spans="1:18" s="106" customFormat="1" x14ac:dyDescent="0.3"/>
    <row r="87" spans="1:18" s="106" customFormat="1" x14ac:dyDescent="0.3"/>
    <row r="88" spans="1:18" s="106" customFormat="1" x14ac:dyDescent="0.3"/>
    <row r="89" spans="1:18" s="106" customFormat="1" x14ac:dyDescent="0.3"/>
    <row r="90" spans="1:18" s="106" customFormat="1" x14ac:dyDescent="0.3"/>
    <row r="91" spans="1:18" s="106" customFormat="1" x14ac:dyDescent="0.3"/>
    <row r="92" spans="1:18" s="106" customFormat="1" x14ac:dyDescent="0.3"/>
    <row r="93" spans="1:18" s="106" customFormat="1" x14ac:dyDescent="0.3"/>
    <row r="94" spans="1:18" s="106" customFormat="1" x14ac:dyDescent="0.3"/>
    <row r="95" spans="1:18" s="106" customFormat="1" x14ac:dyDescent="0.3"/>
    <row r="96" spans="1:18" s="106" customFormat="1" x14ac:dyDescent="0.3"/>
    <row r="97" s="106" customFormat="1" x14ac:dyDescent="0.3"/>
    <row r="98" s="106" customFormat="1" x14ac:dyDescent="0.3"/>
    <row r="99" s="106" customFormat="1" x14ac:dyDescent="0.3"/>
    <row r="100" s="106" customFormat="1" x14ac:dyDescent="0.3"/>
    <row r="101" s="106" customFormat="1" x14ac:dyDescent="0.3"/>
  </sheetData>
  <mergeCells count="3">
    <mergeCell ref="I9:I28"/>
    <mergeCell ref="C9:C28"/>
    <mergeCell ref="N9:N28"/>
  </mergeCells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opLeftCell="A27" workbookViewId="0">
      <selection activeCell="A49" sqref="A49"/>
    </sheetView>
  </sheetViews>
  <sheetFormatPr baseColWidth="10" defaultRowHeight="14.4" x14ac:dyDescent="0.3"/>
  <cols>
    <col min="1" max="1" width="36.5546875" customWidth="1"/>
    <col min="2" max="2" width="15" customWidth="1"/>
    <col min="3" max="3" width="1.88671875" customWidth="1"/>
    <col min="4" max="4" width="30.5546875" customWidth="1"/>
    <col min="5" max="5" width="14.33203125" customWidth="1"/>
  </cols>
  <sheetData>
    <row r="1" spans="1:5" ht="15.6" x14ac:dyDescent="0.3">
      <c r="A1" s="135" t="s">
        <v>312</v>
      </c>
    </row>
    <row r="2" spans="1:5" ht="20.25" customHeight="1" thickBot="1" x14ac:dyDescent="0.35"/>
    <row r="3" spans="1:5" ht="15" thickBot="1" x14ac:dyDescent="0.35">
      <c r="A3" s="30" t="s">
        <v>30</v>
      </c>
      <c r="B3" s="33" t="s">
        <v>31</v>
      </c>
      <c r="D3" s="30" t="s">
        <v>32</v>
      </c>
      <c r="E3" s="33" t="s">
        <v>31</v>
      </c>
    </row>
    <row r="4" spans="1:5" x14ac:dyDescent="0.3">
      <c r="A4" s="31" t="s">
        <v>178</v>
      </c>
      <c r="B4" s="34"/>
      <c r="D4" s="31" t="s">
        <v>216</v>
      </c>
      <c r="E4" s="46"/>
    </row>
    <row r="5" spans="1:5" x14ac:dyDescent="0.3">
      <c r="A5" s="32" t="s">
        <v>177</v>
      </c>
      <c r="B5" s="35"/>
      <c r="D5" s="32" t="s">
        <v>217</v>
      </c>
      <c r="E5" s="35"/>
    </row>
    <row r="6" spans="1:5" x14ac:dyDescent="0.3">
      <c r="A6" s="32" t="s">
        <v>179</v>
      </c>
      <c r="B6" s="35"/>
      <c r="D6" s="32" t="s">
        <v>218</v>
      </c>
      <c r="E6" s="35"/>
    </row>
    <row r="7" spans="1:5" ht="15" thickBot="1" x14ac:dyDescent="0.35">
      <c r="A7" s="37" t="s">
        <v>180</v>
      </c>
      <c r="B7" s="38"/>
      <c r="D7" s="32" t="s">
        <v>207</v>
      </c>
      <c r="E7" s="35"/>
    </row>
    <row r="8" spans="1:5" ht="15" thickBot="1" x14ac:dyDescent="0.35">
      <c r="A8" s="41" t="s">
        <v>1</v>
      </c>
      <c r="B8" s="43">
        <f>SUM(B4:B7)</f>
        <v>0</v>
      </c>
      <c r="D8" s="32" t="s">
        <v>219</v>
      </c>
      <c r="E8" s="35"/>
    </row>
    <row r="9" spans="1:5" ht="15" thickBot="1" x14ac:dyDescent="0.35">
      <c r="A9" s="36"/>
      <c r="B9" s="72"/>
      <c r="D9" s="60" t="s">
        <v>208</v>
      </c>
      <c r="E9" s="35"/>
    </row>
    <row r="10" spans="1:5" ht="15" thickBot="1" x14ac:dyDescent="0.35">
      <c r="A10" s="30" t="s">
        <v>33</v>
      </c>
      <c r="B10" s="33" t="s">
        <v>31</v>
      </c>
      <c r="D10" s="32" t="s">
        <v>209</v>
      </c>
      <c r="E10" s="35"/>
    </row>
    <row r="11" spans="1:5" x14ac:dyDescent="0.3">
      <c r="A11" s="74" t="s">
        <v>181</v>
      </c>
      <c r="B11" s="34"/>
      <c r="D11" s="32" t="s">
        <v>224</v>
      </c>
      <c r="E11" s="35"/>
    </row>
    <row r="12" spans="1:5" x14ac:dyDescent="0.3">
      <c r="A12" s="74" t="s">
        <v>182</v>
      </c>
      <c r="B12" s="34"/>
      <c r="D12" s="32" t="s">
        <v>220</v>
      </c>
      <c r="E12" s="35"/>
    </row>
    <row r="13" spans="1:5" x14ac:dyDescent="0.3">
      <c r="A13" s="73" t="s">
        <v>183</v>
      </c>
      <c r="B13" s="35"/>
      <c r="D13" s="60" t="s">
        <v>221</v>
      </c>
      <c r="E13" s="35"/>
    </row>
    <row r="14" spans="1:5" x14ac:dyDescent="0.3">
      <c r="A14" s="73" t="s">
        <v>184</v>
      </c>
      <c r="B14" s="35"/>
      <c r="D14" s="32" t="s">
        <v>127</v>
      </c>
      <c r="E14" s="35"/>
    </row>
    <row r="15" spans="1:5" x14ac:dyDescent="0.3">
      <c r="A15" s="37" t="s">
        <v>185</v>
      </c>
      <c r="B15" s="38"/>
      <c r="D15" s="32" t="s">
        <v>222</v>
      </c>
      <c r="E15" s="35"/>
    </row>
    <row r="16" spans="1:5" x14ac:dyDescent="0.3">
      <c r="A16" s="32" t="s">
        <v>186</v>
      </c>
      <c r="B16" s="35"/>
      <c r="D16" s="32" t="s">
        <v>210</v>
      </c>
      <c r="E16" s="35"/>
    </row>
    <row r="17" spans="1:5" x14ac:dyDescent="0.3">
      <c r="A17" s="32" t="s">
        <v>187</v>
      </c>
      <c r="B17" s="35"/>
      <c r="D17" s="32" t="s">
        <v>211</v>
      </c>
      <c r="E17" s="35"/>
    </row>
    <row r="18" spans="1:5" x14ac:dyDescent="0.3">
      <c r="A18" s="32" t="s">
        <v>132</v>
      </c>
      <c r="B18" s="35"/>
      <c r="D18" s="32" t="s">
        <v>212</v>
      </c>
      <c r="E18" s="35"/>
    </row>
    <row r="19" spans="1:5" x14ac:dyDescent="0.3">
      <c r="A19" s="32" t="s">
        <v>188</v>
      </c>
      <c r="B19" s="35"/>
      <c r="D19" s="32" t="s">
        <v>223</v>
      </c>
      <c r="E19" s="35"/>
    </row>
    <row r="20" spans="1:5" ht="14.25" customHeight="1" x14ac:dyDescent="0.3">
      <c r="A20" s="32" t="s">
        <v>189</v>
      </c>
      <c r="B20" s="35"/>
      <c r="D20" s="32" t="s">
        <v>213</v>
      </c>
      <c r="E20" s="35"/>
    </row>
    <row r="21" spans="1:5" x14ac:dyDescent="0.3">
      <c r="A21" s="32" t="s">
        <v>190</v>
      </c>
      <c r="B21" s="35"/>
      <c r="D21" s="16" t="s">
        <v>214</v>
      </c>
      <c r="E21" s="35"/>
    </row>
    <row r="22" spans="1:5" x14ac:dyDescent="0.3">
      <c r="A22" s="32" t="s">
        <v>191</v>
      </c>
      <c r="B22" s="35"/>
      <c r="D22" s="32" t="s">
        <v>317</v>
      </c>
      <c r="E22" s="35"/>
    </row>
    <row r="23" spans="1:5" x14ac:dyDescent="0.3">
      <c r="A23" s="32" t="s">
        <v>198</v>
      </c>
      <c r="B23" s="35"/>
      <c r="D23" s="32" t="s">
        <v>318</v>
      </c>
      <c r="E23" s="35"/>
    </row>
    <row r="24" spans="1:5" ht="15" thickBot="1" x14ac:dyDescent="0.35">
      <c r="A24" s="32" t="s">
        <v>192</v>
      </c>
      <c r="B24" s="35"/>
      <c r="D24" s="32" t="s">
        <v>215</v>
      </c>
      <c r="E24" s="35"/>
    </row>
    <row r="25" spans="1:5" ht="15" thickBot="1" x14ac:dyDescent="0.35">
      <c r="A25" s="32" t="s">
        <v>193</v>
      </c>
      <c r="B25" s="35"/>
      <c r="D25" s="41" t="s">
        <v>1</v>
      </c>
      <c r="E25" s="43"/>
    </row>
    <row r="26" spans="1:5" ht="15" thickBot="1" x14ac:dyDescent="0.35">
      <c r="A26" s="32" t="s">
        <v>194</v>
      </c>
      <c r="B26" s="35"/>
    </row>
    <row r="27" spans="1:5" ht="15" thickBot="1" x14ac:dyDescent="0.35">
      <c r="A27" s="32" t="s">
        <v>143</v>
      </c>
      <c r="B27" s="35"/>
      <c r="D27" s="30" t="s">
        <v>34</v>
      </c>
      <c r="E27" s="33" t="s">
        <v>31</v>
      </c>
    </row>
    <row r="28" spans="1:5" ht="14.25" customHeight="1" x14ac:dyDescent="0.3">
      <c r="A28" s="32" t="s">
        <v>135</v>
      </c>
      <c r="B28" s="35"/>
      <c r="D28" s="31" t="s">
        <v>225</v>
      </c>
      <c r="E28" s="34"/>
    </row>
    <row r="29" spans="1:5" x14ac:dyDescent="0.3">
      <c r="A29" s="32" t="s">
        <v>133</v>
      </c>
      <c r="B29" s="35"/>
      <c r="D29" s="31" t="s">
        <v>226</v>
      </c>
      <c r="E29" s="34"/>
    </row>
    <row r="30" spans="1:5" x14ac:dyDescent="0.3">
      <c r="A30" s="32" t="s">
        <v>134</v>
      </c>
      <c r="B30" s="35"/>
      <c r="D30" s="32" t="s">
        <v>227</v>
      </c>
      <c r="E30" s="35"/>
    </row>
    <row r="31" spans="1:5" x14ac:dyDescent="0.3">
      <c r="A31" s="32" t="s">
        <v>195</v>
      </c>
      <c r="B31" s="35"/>
      <c r="D31" s="32" t="s">
        <v>228</v>
      </c>
      <c r="E31" s="35"/>
    </row>
    <row r="32" spans="1:5" x14ac:dyDescent="0.3">
      <c r="A32" s="32" t="s">
        <v>196</v>
      </c>
      <c r="B32" s="35"/>
      <c r="D32" s="32" t="s">
        <v>229</v>
      </c>
      <c r="E32" s="35"/>
    </row>
    <row r="33" spans="1:5" x14ac:dyDescent="0.3">
      <c r="A33" s="32" t="s">
        <v>197</v>
      </c>
      <c r="B33" s="35"/>
      <c r="D33" s="32" t="s">
        <v>230</v>
      </c>
      <c r="E33" s="35"/>
    </row>
    <row r="34" spans="1:5" x14ac:dyDescent="0.3">
      <c r="A34" s="32" t="s">
        <v>128</v>
      </c>
      <c r="B34" s="35"/>
      <c r="D34" s="32" t="s">
        <v>231</v>
      </c>
      <c r="E34" s="35"/>
    </row>
    <row r="35" spans="1:5" x14ac:dyDescent="0.3">
      <c r="A35" s="32" t="s">
        <v>199</v>
      </c>
      <c r="B35" s="35"/>
      <c r="D35" s="32" t="s">
        <v>232</v>
      </c>
      <c r="E35" s="35"/>
    </row>
    <row r="36" spans="1:5" x14ac:dyDescent="0.3">
      <c r="A36" s="32" t="s">
        <v>129</v>
      </c>
      <c r="B36" s="35"/>
      <c r="D36" s="32" t="s">
        <v>233</v>
      </c>
      <c r="E36" s="35"/>
    </row>
    <row r="37" spans="1:5" x14ac:dyDescent="0.3">
      <c r="A37" s="32" t="s">
        <v>130</v>
      </c>
      <c r="B37" s="35"/>
      <c r="D37" s="32" t="s">
        <v>136</v>
      </c>
      <c r="E37" s="35"/>
    </row>
    <row r="38" spans="1:5" x14ac:dyDescent="0.3">
      <c r="A38" s="32" t="s">
        <v>200</v>
      </c>
      <c r="B38" s="35"/>
      <c r="D38" s="131" t="s">
        <v>234</v>
      </c>
      <c r="E38" s="35"/>
    </row>
    <row r="39" spans="1:5" x14ac:dyDescent="0.3">
      <c r="A39" s="73" t="s">
        <v>201</v>
      </c>
      <c r="B39" s="35"/>
      <c r="D39" s="32" t="s">
        <v>235</v>
      </c>
      <c r="E39" s="35"/>
    </row>
    <row r="40" spans="1:5" x14ac:dyDescent="0.3">
      <c r="A40" s="32" t="s">
        <v>202</v>
      </c>
      <c r="B40" s="35"/>
      <c r="D40" s="32" t="s">
        <v>137</v>
      </c>
      <c r="E40" s="35"/>
    </row>
    <row r="41" spans="1:5" x14ac:dyDescent="0.3">
      <c r="A41" s="32" t="s">
        <v>203</v>
      </c>
      <c r="B41" s="35"/>
      <c r="D41" s="32" t="s">
        <v>236</v>
      </c>
      <c r="E41" s="35"/>
    </row>
    <row r="42" spans="1:5" x14ac:dyDescent="0.3">
      <c r="A42" s="32" t="s">
        <v>204</v>
      </c>
      <c r="B42" s="35"/>
      <c r="D42" s="32" t="s">
        <v>139</v>
      </c>
      <c r="E42" s="35"/>
    </row>
    <row r="43" spans="1:5" x14ac:dyDescent="0.3">
      <c r="A43" s="32" t="s">
        <v>131</v>
      </c>
      <c r="B43" s="35"/>
      <c r="D43" s="32" t="s">
        <v>140</v>
      </c>
      <c r="E43" s="35"/>
    </row>
    <row r="44" spans="1:5" x14ac:dyDescent="0.3">
      <c r="A44" s="32" t="s">
        <v>205</v>
      </c>
      <c r="B44" s="35"/>
      <c r="D44" s="32" t="s">
        <v>237</v>
      </c>
      <c r="E44" s="35"/>
    </row>
    <row r="45" spans="1:5" ht="15" thickBot="1" x14ac:dyDescent="0.35">
      <c r="A45" s="32" t="s">
        <v>206</v>
      </c>
      <c r="B45" s="35"/>
      <c r="D45" s="32" t="s">
        <v>238</v>
      </c>
      <c r="E45" s="35"/>
    </row>
    <row r="46" spans="1:5" ht="15" thickBot="1" x14ac:dyDescent="0.35">
      <c r="A46" s="41" t="s">
        <v>1</v>
      </c>
      <c r="B46" s="43"/>
      <c r="D46" s="32" t="s">
        <v>141</v>
      </c>
      <c r="E46" s="35"/>
    </row>
    <row r="47" spans="1:5" x14ac:dyDescent="0.3">
      <c r="A47" s="36"/>
      <c r="B47" s="72"/>
      <c r="D47" s="37" t="s">
        <v>239</v>
      </c>
      <c r="E47" s="38"/>
    </row>
    <row r="48" spans="1:5" x14ac:dyDescent="0.3">
      <c r="A48" s="36"/>
      <c r="B48" s="72"/>
      <c r="D48" s="37" t="s">
        <v>242</v>
      </c>
      <c r="E48" s="38"/>
    </row>
    <row r="49" spans="1:5" ht="18" x14ac:dyDescent="0.35">
      <c r="A49" s="194"/>
      <c r="B49" s="72"/>
      <c r="D49" s="37" t="s">
        <v>243</v>
      </c>
      <c r="E49" s="38"/>
    </row>
    <row r="50" spans="1:5" x14ac:dyDescent="0.3">
      <c r="A50" s="36"/>
      <c r="B50" s="72"/>
      <c r="D50" s="37" t="s">
        <v>241</v>
      </c>
      <c r="E50" s="38"/>
    </row>
    <row r="51" spans="1:5" x14ac:dyDescent="0.3">
      <c r="A51" s="36"/>
      <c r="B51" s="72"/>
      <c r="D51" s="37" t="s">
        <v>240</v>
      </c>
      <c r="E51" s="38"/>
    </row>
    <row r="52" spans="1:5" ht="15" thickBot="1" x14ac:dyDescent="0.35">
      <c r="D52" s="37" t="s">
        <v>142</v>
      </c>
      <c r="E52" s="38"/>
    </row>
    <row r="53" spans="1:5" ht="15" thickBot="1" x14ac:dyDescent="0.35">
      <c r="D53" s="41" t="s">
        <v>1</v>
      </c>
      <c r="E53" s="42"/>
    </row>
    <row r="54" spans="1:5" x14ac:dyDescent="0.3">
      <c r="B54" s="72"/>
    </row>
    <row r="65" ht="12.75" customHeight="1" x14ac:dyDescent="0.3"/>
  </sheetData>
  <pageMargins left="0.23622047244094488" right="0.23622047244094488" top="0.3543307086614173" bottom="0.354330708661417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topLeftCell="A22" workbookViewId="0">
      <selection activeCell="A49" sqref="A49"/>
    </sheetView>
  </sheetViews>
  <sheetFormatPr baseColWidth="10" defaultRowHeight="14.4" x14ac:dyDescent="0.3"/>
  <cols>
    <col min="1" max="1" width="36.109375" customWidth="1"/>
    <col min="2" max="2" width="14.44140625" customWidth="1"/>
    <col min="3" max="3" width="3.6640625" customWidth="1"/>
    <col min="4" max="4" width="29.5546875" customWidth="1"/>
    <col min="5" max="5" width="14.6640625" customWidth="1"/>
    <col min="6" max="6" width="12" bestFit="1" customWidth="1"/>
  </cols>
  <sheetData>
    <row r="1" spans="1:5" ht="15.6" x14ac:dyDescent="0.3">
      <c r="A1" s="135" t="s">
        <v>311</v>
      </c>
    </row>
    <row r="2" spans="1:5" ht="9" customHeight="1" thickBot="1" x14ac:dyDescent="0.35"/>
    <row r="3" spans="1:5" ht="14.1" customHeight="1" thickBot="1" x14ac:dyDescent="0.35">
      <c r="A3" s="30" t="s">
        <v>37</v>
      </c>
      <c r="B3" s="33" t="s">
        <v>31</v>
      </c>
      <c r="D3" s="30" t="s">
        <v>36</v>
      </c>
      <c r="E3" s="33" t="s">
        <v>38</v>
      </c>
    </row>
    <row r="4" spans="1:5" ht="14.1" customHeight="1" x14ac:dyDescent="0.3">
      <c r="A4" s="133" t="s">
        <v>270</v>
      </c>
      <c r="B4" s="46"/>
      <c r="D4" s="59" t="s">
        <v>244</v>
      </c>
      <c r="E4" s="195"/>
    </row>
    <row r="5" spans="1:5" ht="14.1" customHeight="1" x14ac:dyDescent="0.3">
      <c r="A5" s="31" t="s">
        <v>256</v>
      </c>
      <c r="B5" s="34"/>
      <c r="D5" s="59" t="s">
        <v>245</v>
      </c>
      <c r="E5" s="195"/>
    </row>
    <row r="6" spans="1:5" ht="14.1" customHeight="1" x14ac:dyDescent="0.3">
      <c r="A6" s="31" t="s">
        <v>269</v>
      </c>
      <c r="B6" s="34"/>
      <c r="D6" s="59" t="s">
        <v>246</v>
      </c>
      <c r="E6" s="195"/>
    </row>
    <row r="7" spans="1:5" ht="14.1" customHeight="1" x14ac:dyDescent="0.3">
      <c r="A7" s="31" t="s">
        <v>257</v>
      </c>
      <c r="B7" s="34"/>
      <c r="D7" s="59" t="s">
        <v>316</v>
      </c>
      <c r="E7" s="195"/>
    </row>
    <row r="8" spans="1:5" ht="14.1" customHeight="1" x14ac:dyDescent="0.3">
      <c r="A8" s="31" t="s">
        <v>268</v>
      </c>
      <c r="B8" s="34"/>
      <c r="D8" s="59" t="s">
        <v>248</v>
      </c>
      <c r="E8" s="195"/>
    </row>
    <row r="9" spans="1:5" ht="14.1" customHeight="1" x14ac:dyDescent="0.3">
      <c r="A9" s="31" t="s">
        <v>274</v>
      </c>
      <c r="B9" s="34"/>
      <c r="D9" s="59" t="s">
        <v>249</v>
      </c>
      <c r="E9" s="195"/>
    </row>
    <row r="10" spans="1:5" ht="14.1" customHeight="1" x14ac:dyDescent="0.3">
      <c r="A10" s="31" t="s">
        <v>275</v>
      </c>
      <c r="B10" s="34"/>
      <c r="D10" s="60" t="s">
        <v>250</v>
      </c>
      <c r="E10" s="195"/>
    </row>
    <row r="11" spans="1:5" ht="14.1" customHeight="1" x14ac:dyDescent="0.3">
      <c r="A11" s="32" t="s">
        <v>286</v>
      </c>
      <c r="B11" s="35"/>
      <c r="D11" s="60" t="s">
        <v>251</v>
      </c>
      <c r="E11" s="195"/>
    </row>
    <row r="12" spans="1:5" ht="14.1" customHeight="1" x14ac:dyDescent="0.3">
      <c r="A12" s="31" t="s">
        <v>276</v>
      </c>
      <c r="B12" s="34"/>
      <c r="D12" s="59" t="s">
        <v>252</v>
      </c>
      <c r="E12" s="195"/>
    </row>
    <row r="13" spans="1:5" ht="14.1" customHeight="1" thickBot="1" x14ac:dyDescent="0.35">
      <c r="A13" s="32" t="s">
        <v>285</v>
      </c>
      <c r="B13" s="35"/>
      <c r="D13" s="175" t="s">
        <v>253</v>
      </c>
      <c r="E13" s="196"/>
    </row>
    <row r="14" spans="1:5" ht="14.1" customHeight="1" thickBot="1" x14ac:dyDescent="0.35">
      <c r="A14" s="31" t="s">
        <v>277</v>
      </c>
      <c r="B14" s="34"/>
      <c r="D14" s="41" t="s">
        <v>1</v>
      </c>
      <c r="E14" s="197"/>
    </row>
    <row r="15" spans="1:5" ht="14.1" customHeight="1" thickBot="1" x14ac:dyDescent="0.35">
      <c r="A15" s="31" t="s">
        <v>278</v>
      </c>
      <c r="B15" s="34"/>
      <c r="D15" s="176"/>
      <c r="E15" s="40"/>
    </row>
    <row r="16" spans="1:5" ht="14.1" customHeight="1" thickBot="1" x14ac:dyDescent="0.35">
      <c r="A16" s="31" t="s">
        <v>280</v>
      </c>
      <c r="B16" s="34"/>
      <c r="D16" s="30" t="s">
        <v>39</v>
      </c>
      <c r="E16" s="33" t="s">
        <v>31</v>
      </c>
    </row>
    <row r="17" spans="1:5" ht="14.1" customHeight="1" x14ac:dyDescent="0.3">
      <c r="A17" s="31" t="s">
        <v>281</v>
      </c>
      <c r="B17" s="34"/>
      <c r="D17" s="59" t="s">
        <v>244</v>
      </c>
      <c r="E17" s="198"/>
    </row>
    <row r="18" spans="1:5" ht="14.1" customHeight="1" x14ac:dyDescent="0.3">
      <c r="A18" s="32" t="s">
        <v>267</v>
      </c>
      <c r="B18" s="35"/>
      <c r="D18" s="59" t="s">
        <v>245</v>
      </c>
      <c r="E18" s="195"/>
    </row>
    <row r="19" spans="1:5" ht="14.1" customHeight="1" x14ac:dyDescent="0.3">
      <c r="A19" s="31" t="s">
        <v>282</v>
      </c>
      <c r="B19" s="34"/>
      <c r="D19" s="59" t="s">
        <v>246</v>
      </c>
      <c r="E19" s="195"/>
    </row>
    <row r="20" spans="1:5" ht="14.1" customHeight="1" x14ac:dyDescent="0.3">
      <c r="A20" s="31" t="s">
        <v>283</v>
      </c>
      <c r="B20" s="34"/>
      <c r="D20" s="59" t="s">
        <v>247</v>
      </c>
      <c r="E20" s="87"/>
    </row>
    <row r="21" spans="1:5" ht="14.1" customHeight="1" x14ac:dyDescent="0.3">
      <c r="A21" s="32" t="s">
        <v>259</v>
      </c>
      <c r="B21" s="34"/>
      <c r="D21" s="59" t="s">
        <v>248</v>
      </c>
      <c r="E21" s="87"/>
    </row>
    <row r="22" spans="1:5" ht="14.1" customHeight="1" x14ac:dyDescent="0.3">
      <c r="A22" s="31" t="s">
        <v>284</v>
      </c>
      <c r="B22" s="34"/>
      <c r="D22" s="59" t="s">
        <v>249</v>
      </c>
      <c r="E22" s="87"/>
    </row>
    <row r="23" spans="1:5" ht="14.1" customHeight="1" x14ac:dyDescent="0.3">
      <c r="A23" s="31" t="s">
        <v>287</v>
      </c>
      <c r="B23" s="34"/>
      <c r="D23" s="60" t="s">
        <v>250</v>
      </c>
      <c r="E23" s="87"/>
    </row>
    <row r="24" spans="1:5" ht="14.1" customHeight="1" x14ac:dyDescent="0.3">
      <c r="A24" s="31" t="s">
        <v>279</v>
      </c>
      <c r="B24" s="34"/>
      <c r="D24" s="60" t="s">
        <v>251</v>
      </c>
      <c r="E24" s="87"/>
    </row>
    <row r="25" spans="1:5" ht="14.1" customHeight="1" x14ac:dyDescent="0.3">
      <c r="A25" s="31" t="s">
        <v>273</v>
      </c>
      <c r="B25" s="34"/>
      <c r="D25" s="59" t="s">
        <v>252</v>
      </c>
      <c r="E25" s="87"/>
    </row>
    <row r="26" spans="1:5" ht="14.1" customHeight="1" thickBot="1" x14ac:dyDescent="0.35">
      <c r="A26" s="32" t="s">
        <v>258</v>
      </c>
      <c r="B26" s="35"/>
      <c r="D26" s="175" t="s">
        <v>253</v>
      </c>
      <c r="E26" s="199"/>
    </row>
    <row r="27" spans="1:5" ht="14.1" customHeight="1" thickBot="1" x14ac:dyDescent="0.35">
      <c r="A27" s="32" t="s">
        <v>271</v>
      </c>
      <c r="B27" s="35"/>
      <c r="D27" s="41" t="s">
        <v>1</v>
      </c>
      <c r="E27" s="197"/>
    </row>
    <row r="28" spans="1:5" ht="14.1" customHeight="1" thickBot="1" x14ac:dyDescent="0.35">
      <c r="A28" s="32" t="s">
        <v>272</v>
      </c>
      <c r="B28" s="35"/>
    </row>
    <row r="29" spans="1:5" ht="14.1" customHeight="1" thickBot="1" x14ac:dyDescent="0.35">
      <c r="A29" s="41" t="s">
        <v>77</v>
      </c>
      <c r="B29" s="43"/>
      <c r="D29" s="30" t="s">
        <v>41</v>
      </c>
      <c r="E29" s="33" t="s">
        <v>31</v>
      </c>
    </row>
    <row r="30" spans="1:5" ht="14.1" customHeight="1" thickBot="1" x14ac:dyDescent="0.35">
      <c r="A30" s="41" t="s">
        <v>45</v>
      </c>
      <c r="B30" s="43"/>
      <c r="D30" s="75" t="s">
        <v>295</v>
      </c>
      <c r="E30" s="46"/>
    </row>
    <row r="31" spans="1:5" ht="14.1" customHeight="1" thickBot="1" x14ac:dyDescent="0.35">
      <c r="A31" s="41" t="s">
        <v>1</v>
      </c>
      <c r="B31" s="43"/>
      <c r="D31" s="76" t="s">
        <v>297</v>
      </c>
      <c r="E31" s="29"/>
    </row>
    <row r="32" spans="1:5" ht="14.1" customHeight="1" thickBot="1" x14ac:dyDescent="0.35">
      <c r="A32" s="39"/>
      <c r="B32" s="40"/>
      <c r="D32" s="73" t="s">
        <v>296</v>
      </c>
      <c r="E32" s="178"/>
    </row>
    <row r="33" spans="1:6" ht="14.1" customHeight="1" thickBot="1" x14ac:dyDescent="0.35">
      <c r="A33" s="30" t="s">
        <v>40</v>
      </c>
      <c r="B33" s="33" t="s">
        <v>31</v>
      </c>
      <c r="D33" s="73" t="s">
        <v>298</v>
      </c>
      <c r="E33" s="35"/>
    </row>
    <row r="34" spans="1:6" ht="14.1" customHeight="1" thickBot="1" x14ac:dyDescent="0.35">
      <c r="A34" s="21" t="s">
        <v>254</v>
      </c>
      <c r="B34" s="34"/>
      <c r="D34" s="32" t="s">
        <v>294</v>
      </c>
      <c r="E34" s="35"/>
    </row>
    <row r="35" spans="1:6" ht="14.1" customHeight="1" thickBot="1" x14ac:dyDescent="0.35">
      <c r="A35" s="82" t="s">
        <v>255</v>
      </c>
      <c r="B35" s="34"/>
      <c r="D35" s="41" t="s">
        <v>1</v>
      </c>
      <c r="E35" s="43"/>
      <c r="F35" s="55"/>
    </row>
    <row r="36" spans="1:6" ht="14.1" customHeight="1" thickBot="1" x14ac:dyDescent="0.35">
      <c r="A36" s="22" t="s">
        <v>260</v>
      </c>
      <c r="B36" s="35"/>
      <c r="F36" s="55"/>
    </row>
    <row r="37" spans="1:6" ht="14.1" customHeight="1" thickBot="1" x14ac:dyDescent="0.35">
      <c r="A37" s="22" t="s">
        <v>261</v>
      </c>
      <c r="B37" s="35"/>
      <c r="D37" s="30" t="s">
        <v>144</v>
      </c>
      <c r="E37" s="33" t="s">
        <v>38</v>
      </c>
      <c r="F37" s="55"/>
    </row>
    <row r="38" spans="1:6" ht="14.1" customHeight="1" x14ac:dyDescent="0.3">
      <c r="A38" s="22" t="s">
        <v>262</v>
      </c>
      <c r="B38" s="35"/>
      <c r="D38" s="74" t="s">
        <v>290</v>
      </c>
      <c r="E38" s="174"/>
      <c r="F38" s="55"/>
    </row>
    <row r="39" spans="1:6" ht="14.1" customHeight="1" x14ac:dyDescent="0.3">
      <c r="A39" s="83" t="s">
        <v>263</v>
      </c>
      <c r="B39" s="86"/>
      <c r="D39" s="74" t="s">
        <v>292</v>
      </c>
      <c r="E39" s="174"/>
      <c r="F39" s="55"/>
    </row>
    <row r="40" spans="1:6" ht="14.1" customHeight="1" x14ac:dyDescent="0.3">
      <c r="A40" s="84" t="s">
        <v>264</v>
      </c>
      <c r="B40" s="87"/>
      <c r="D40" s="74" t="s">
        <v>291</v>
      </c>
      <c r="E40" s="34"/>
      <c r="F40" s="55"/>
    </row>
    <row r="41" spans="1:6" ht="14.1" customHeight="1" thickBot="1" x14ac:dyDescent="0.35">
      <c r="A41" s="84" t="s">
        <v>265</v>
      </c>
      <c r="B41" s="87"/>
      <c r="D41" s="94" t="s">
        <v>293</v>
      </c>
      <c r="E41" s="34"/>
      <c r="F41" s="55"/>
    </row>
    <row r="42" spans="1:6" ht="14.1" customHeight="1" thickBot="1" x14ac:dyDescent="0.35">
      <c r="A42" s="84" t="s">
        <v>289</v>
      </c>
      <c r="B42" s="87"/>
      <c r="D42" s="41" t="s">
        <v>1</v>
      </c>
      <c r="E42" s="43"/>
      <c r="F42" s="55"/>
    </row>
    <row r="43" spans="1:6" ht="14.1" customHeight="1" x14ac:dyDescent="0.3">
      <c r="A43" s="84" t="s">
        <v>266</v>
      </c>
      <c r="B43" s="87"/>
      <c r="F43" s="55"/>
    </row>
    <row r="44" spans="1:6" ht="14.1" customHeight="1" thickBot="1" x14ac:dyDescent="0.35">
      <c r="A44" s="85" t="s">
        <v>288</v>
      </c>
      <c r="B44" s="88"/>
      <c r="F44" s="55"/>
    </row>
    <row r="45" spans="1:6" ht="14.1" customHeight="1" thickBot="1" x14ac:dyDescent="0.35">
      <c r="A45" s="44" t="s">
        <v>1</v>
      </c>
      <c r="B45" s="45"/>
      <c r="F45" s="55"/>
    </row>
    <row r="46" spans="1:6" ht="12.75" customHeight="1" x14ac:dyDescent="0.3">
      <c r="F46" s="55"/>
    </row>
    <row r="47" spans="1:6" ht="14.1" customHeight="1" x14ac:dyDescent="0.3">
      <c r="F47" s="55"/>
    </row>
    <row r="48" spans="1:6" ht="14.1" customHeight="1" x14ac:dyDescent="0.3">
      <c r="F48" s="55"/>
    </row>
    <row r="49" spans="1:6" ht="18.75" customHeight="1" x14ac:dyDescent="0.35">
      <c r="A49" s="194"/>
      <c r="F49" s="55"/>
    </row>
    <row r="50" spans="1:6" ht="14.1" customHeight="1" x14ac:dyDescent="0.3">
      <c r="F50" s="55"/>
    </row>
    <row r="51" spans="1:6" ht="14.1" customHeight="1" x14ac:dyDescent="0.3">
      <c r="F51" s="55"/>
    </row>
    <row r="52" spans="1:6" ht="14.1" customHeight="1" x14ac:dyDescent="0.3">
      <c r="F52" s="55"/>
    </row>
    <row r="53" spans="1:6" ht="14.1" customHeight="1" x14ac:dyDescent="0.3">
      <c r="F53" s="55"/>
    </row>
    <row r="54" spans="1:6" ht="14.1" customHeight="1" x14ac:dyDescent="0.3">
      <c r="F54" s="55"/>
    </row>
    <row r="55" spans="1:6" ht="14.1" customHeight="1" x14ac:dyDescent="0.3">
      <c r="F55" s="55"/>
    </row>
    <row r="56" spans="1:6" ht="17.25" customHeight="1" x14ac:dyDescent="0.3"/>
    <row r="57" spans="1:6" ht="14.1" customHeight="1" x14ac:dyDescent="0.3"/>
    <row r="58" spans="1:6" ht="14.1" customHeight="1" x14ac:dyDescent="0.3"/>
    <row r="59" spans="1:6" ht="14.1" customHeight="1" x14ac:dyDescent="0.3"/>
    <row r="60" spans="1:6" ht="14.1" customHeight="1" x14ac:dyDescent="0.3">
      <c r="A60" s="180"/>
    </row>
    <row r="61" spans="1:6" ht="14.1" customHeight="1" x14ac:dyDescent="0.3"/>
    <row r="62" spans="1:6" ht="14.1" customHeight="1" x14ac:dyDescent="0.3"/>
    <row r="63" spans="1:6" ht="14.1" customHeight="1" x14ac:dyDescent="0.3"/>
    <row r="64" spans="1:6" ht="14.1" customHeight="1" x14ac:dyDescent="0.3"/>
    <row r="72" spans="4:5" x14ac:dyDescent="0.3">
      <c r="D72" s="79"/>
      <c r="E72" s="81"/>
    </row>
    <row r="73" spans="4:5" x14ac:dyDescent="0.3">
      <c r="D73" s="79"/>
      <c r="E73" s="81"/>
    </row>
    <row r="74" spans="4:5" ht="15.6" x14ac:dyDescent="0.3">
      <c r="D74" s="50"/>
      <c r="E74" s="81"/>
    </row>
    <row r="75" spans="4:5" x14ac:dyDescent="0.3">
      <c r="D75" s="79"/>
      <c r="E75" s="81"/>
    </row>
    <row r="76" spans="4:5" x14ac:dyDescent="0.3">
      <c r="D76" s="79"/>
      <c r="E76" s="81"/>
    </row>
    <row r="77" spans="4:5" x14ac:dyDescent="0.3">
      <c r="D77" s="79"/>
      <c r="E77" s="81"/>
    </row>
    <row r="78" spans="4:5" x14ac:dyDescent="0.3">
      <c r="D78" s="79"/>
      <c r="E78" s="81"/>
    </row>
    <row r="79" spans="4:5" x14ac:dyDescent="0.3">
      <c r="D79" s="79"/>
      <c r="E79" s="81"/>
    </row>
    <row r="80" spans="4:5" x14ac:dyDescent="0.3">
      <c r="D80" s="79"/>
      <c r="E80" s="81"/>
    </row>
    <row r="84" spans="1:1" ht="15.6" x14ac:dyDescent="0.3">
      <c r="A84" s="50"/>
    </row>
  </sheetData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opLeftCell="A22" workbookViewId="0">
      <selection activeCell="A49" sqref="A49"/>
    </sheetView>
  </sheetViews>
  <sheetFormatPr baseColWidth="10" defaultRowHeight="14.4" x14ac:dyDescent="0.3"/>
  <cols>
    <col min="1" max="1" width="31.6640625" customWidth="1"/>
    <col min="2" max="2" width="15.109375" customWidth="1"/>
    <col min="3" max="3" width="3.6640625" customWidth="1"/>
    <col min="4" max="4" width="31.5546875" customWidth="1"/>
    <col min="5" max="5" width="16.5546875" customWidth="1"/>
  </cols>
  <sheetData>
    <row r="1" spans="1:5" ht="15.6" x14ac:dyDescent="0.3">
      <c r="A1" s="135" t="s">
        <v>310</v>
      </c>
    </row>
    <row r="2" spans="1:5" ht="15" thickBot="1" x14ac:dyDescent="0.35"/>
    <row r="3" spans="1:5" ht="15" thickBot="1" x14ac:dyDescent="0.35">
      <c r="A3" s="30" t="s">
        <v>82</v>
      </c>
      <c r="B3" s="33" t="s">
        <v>38</v>
      </c>
      <c r="D3" s="30" t="s">
        <v>55</v>
      </c>
      <c r="E3" s="33" t="s">
        <v>38</v>
      </c>
    </row>
    <row r="4" spans="1:5" x14ac:dyDescent="0.3">
      <c r="A4" s="59" t="s">
        <v>244</v>
      </c>
      <c r="B4" s="174"/>
      <c r="D4" s="59" t="s">
        <v>244</v>
      </c>
      <c r="E4" s="174"/>
    </row>
    <row r="5" spans="1:5" x14ac:dyDescent="0.3">
      <c r="A5" s="59" t="s">
        <v>245</v>
      </c>
      <c r="B5" s="174"/>
      <c r="D5" s="59" t="s">
        <v>245</v>
      </c>
      <c r="E5" s="174"/>
    </row>
    <row r="6" spans="1:5" x14ac:dyDescent="0.3">
      <c r="A6" s="59" t="s">
        <v>246</v>
      </c>
      <c r="B6" s="174"/>
      <c r="D6" s="59" t="s">
        <v>246</v>
      </c>
      <c r="E6" s="174"/>
    </row>
    <row r="7" spans="1:5" x14ac:dyDescent="0.3">
      <c r="A7" s="59" t="s">
        <v>247</v>
      </c>
      <c r="B7" s="174"/>
      <c r="D7" s="59" t="s">
        <v>247</v>
      </c>
      <c r="E7" s="174"/>
    </row>
    <row r="8" spans="1:5" x14ac:dyDescent="0.3">
      <c r="A8" s="59" t="s">
        <v>248</v>
      </c>
      <c r="B8" s="179"/>
      <c r="D8" s="59" t="s">
        <v>248</v>
      </c>
      <c r="E8" s="179"/>
    </row>
    <row r="9" spans="1:5" x14ac:dyDescent="0.3">
      <c r="A9" s="59" t="s">
        <v>249</v>
      </c>
      <c r="B9" s="179"/>
      <c r="D9" s="59" t="s">
        <v>249</v>
      </c>
      <c r="E9" s="179"/>
    </row>
    <row r="10" spans="1:5" x14ac:dyDescent="0.3">
      <c r="A10" s="60" t="s">
        <v>250</v>
      </c>
      <c r="B10" s="35"/>
      <c r="D10" s="60" t="s">
        <v>250</v>
      </c>
      <c r="E10" s="35"/>
    </row>
    <row r="11" spans="1:5" x14ac:dyDescent="0.3">
      <c r="A11" s="60" t="s">
        <v>251</v>
      </c>
      <c r="B11" s="35"/>
      <c r="D11" s="60" t="s">
        <v>251</v>
      </c>
      <c r="E11" s="35"/>
    </row>
    <row r="12" spans="1:5" x14ac:dyDescent="0.3">
      <c r="A12" s="59" t="s">
        <v>252</v>
      </c>
      <c r="B12" s="35"/>
      <c r="D12" s="59" t="s">
        <v>252</v>
      </c>
      <c r="E12" s="35"/>
    </row>
    <row r="13" spans="1:5" ht="15" thickBot="1" x14ac:dyDescent="0.35">
      <c r="A13" s="175" t="s">
        <v>253</v>
      </c>
      <c r="B13" s="38"/>
      <c r="D13" s="175" t="s">
        <v>253</v>
      </c>
      <c r="E13" s="38"/>
    </row>
    <row r="14" spans="1:5" ht="15" thickBot="1" x14ac:dyDescent="0.35">
      <c r="A14" s="41" t="s">
        <v>1</v>
      </c>
      <c r="B14" s="43"/>
      <c r="D14" s="41" t="s">
        <v>1</v>
      </c>
      <c r="E14" s="43"/>
    </row>
    <row r="15" spans="1:5" ht="15" thickBot="1" x14ac:dyDescent="0.35">
      <c r="A15" s="78"/>
      <c r="B15" s="93"/>
      <c r="D15" s="36"/>
      <c r="E15" s="72"/>
    </row>
    <row r="16" spans="1:5" ht="15" thickBot="1" x14ac:dyDescent="0.35">
      <c r="A16" s="30" t="s">
        <v>138</v>
      </c>
      <c r="B16" s="33" t="s">
        <v>38</v>
      </c>
      <c r="D16" s="30" t="s">
        <v>81</v>
      </c>
      <c r="E16" s="33" t="s">
        <v>31</v>
      </c>
    </row>
    <row r="17" spans="1:5" x14ac:dyDescent="0.3">
      <c r="A17" s="74" t="s">
        <v>299</v>
      </c>
      <c r="B17" s="34"/>
      <c r="D17" s="59" t="s">
        <v>244</v>
      </c>
      <c r="E17" s="46"/>
    </row>
    <row r="18" spans="1:5" x14ac:dyDescent="0.3">
      <c r="A18" s="74" t="s">
        <v>300</v>
      </c>
      <c r="B18" s="34"/>
      <c r="D18" s="59" t="s">
        <v>245</v>
      </c>
      <c r="E18" s="35"/>
    </row>
    <row r="19" spans="1:5" x14ac:dyDescent="0.3">
      <c r="A19" s="74" t="s">
        <v>301</v>
      </c>
      <c r="B19" s="35"/>
      <c r="D19" s="59" t="s">
        <v>246</v>
      </c>
      <c r="E19" s="34"/>
    </row>
    <row r="20" spans="1:5" ht="15" thickBot="1" x14ac:dyDescent="0.35">
      <c r="A20" s="134" t="s">
        <v>302</v>
      </c>
      <c r="B20" s="38"/>
      <c r="D20" s="59" t="s">
        <v>247</v>
      </c>
      <c r="E20" s="35"/>
    </row>
    <row r="21" spans="1:5" ht="15" thickBot="1" x14ac:dyDescent="0.35">
      <c r="A21" s="41" t="s">
        <v>1</v>
      </c>
      <c r="B21" s="43"/>
      <c r="D21" s="59" t="s">
        <v>248</v>
      </c>
      <c r="E21" s="35"/>
    </row>
    <row r="22" spans="1:5" ht="15" thickBot="1" x14ac:dyDescent="0.35">
      <c r="D22" s="59" t="s">
        <v>249</v>
      </c>
      <c r="E22" s="35"/>
    </row>
    <row r="23" spans="1:5" ht="15" thickBot="1" x14ac:dyDescent="0.35">
      <c r="A23" s="30" t="s">
        <v>35</v>
      </c>
      <c r="B23" s="33" t="s">
        <v>31</v>
      </c>
      <c r="D23" s="60" t="s">
        <v>250</v>
      </c>
      <c r="E23" s="35"/>
    </row>
    <row r="24" spans="1:5" x14ac:dyDescent="0.3">
      <c r="A24" s="31" t="s">
        <v>308</v>
      </c>
      <c r="B24" s="34"/>
      <c r="D24" s="60" t="s">
        <v>251</v>
      </c>
      <c r="E24" s="35"/>
    </row>
    <row r="25" spans="1:5" x14ac:dyDescent="0.3">
      <c r="A25" s="31" t="s">
        <v>309</v>
      </c>
      <c r="B25" s="34"/>
      <c r="D25" s="59" t="s">
        <v>252</v>
      </c>
      <c r="E25" s="35"/>
    </row>
    <row r="26" spans="1:5" ht="15" thickBot="1" x14ac:dyDescent="0.35">
      <c r="A26" s="52" t="s">
        <v>45</v>
      </c>
      <c r="B26" s="53"/>
      <c r="D26" s="175" t="s">
        <v>253</v>
      </c>
      <c r="E26" s="38"/>
    </row>
    <row r="27" spans="1:5" ht="15" thickBot="1" x14ac:dyDescent="0.35">
      <c r="A27" s="41" t="s">
        <v>1</v>
      </c>
      <c r="B27" s="43"/>
      <c r="D27" s="41" t="s">
        <v>1</v>
      </c>
      <c r="E27" s="43"/>
    </row>
    <row r="28" spans="1:5" ht="15" thickBot="1" x14ac:dyDescent="0.35">
      <c r="A28" s="181"/>
      <c r="B28" s="77"/>
      <c r="D28" s="177"/>
      <c r="E28" s="40"/>
    </row>
    <row r="29" spans="1:5" ht="15" thickBot="1" x14ac:dyDescent="0.35">
      <c r="A29" s="30" t="s">
        <v>314</v>
      </c>
      <c r="B29" s="33" t="s">
        <v>38</v>
      </c>
      <c r="D29" s="30" t="s">
        <v>42</v>
      </c>
      <c r="E29" s="33" t="s">
        <v>31</v>
      </c>
    </row>
    <row r="30" spans="1:5" x14ac:dyDescent="0.3">
      <c r="A30" s="59" t="s">
        <v>244</v>
      </c>
      <c r="B30" s="174"/>
      <c r="D30" s="47" t="s">
        <v>145</v>
      </c>
      <c r="E30" s="46"/>
    </row>
    <row r="31" spans="1:5" x14ac:dyDescent="0.3">
      <c r="A31" s="59" t="s">
        <v>245</v>
      </c>
      <c r="B31" s="174"/>
      <c r="D31" s="31" t="s">
        <v>146</v>
      </c>
      <c r="E31" s="34"/>
    </row>
    <row r="32" spans="1:5" x14ac:dyDescent="0.3">
      <c r="A32" s="59" t="s">
        <v>246</v>
      </c>
      <c r="B32" s="174"/>
      <c r="D32" s="32" t="s">
        <v>43</v>
      </c>
      <c r="E32" s="35"/>
    </row>
    <row r="33" spans="1:5" x14ac:dyDescent="0.3">
      <c r="A33" s="59" t="s">
        <v>247</v>
      </c>
      <c r="B33" s="174"/>
      <c r="D33" s="32" t="s">
        <v>303</v>
      </c>
      <c r="E33" s="35"/>
    </row>
    <row r="34" spans="1:5" x14ac:dyDescent="0.3">
      <c r="A34" s="59" t="s">
        <v>248</v>
      </c>
      <c r="B34" s="34"/>
      <c r="D34" s="32" t="s">
        <v>78</v>
      </c>
      <c r="E34" s="35"/>
    </row>
    <row r="35" spans="1:5" x14ac:dyDescent="0.3">
      <c r="A35" s="59" t="s">
        <v>249</v>
      </c>
      <c r="B35" s="34"/>
      <c r="D35" s="32" t="s">
        <v>147</v>
      </c>
      <c r="E35" s="35"/>
    </row>
    <row r="36" spans="1:5" x14ac:dyDescent="0.3">
      <c r="A36" s="60" t="s">
        <v>250</v>
      </c>
      <c r="B36" s="34"/>
      <c r="D36" s="32" t="s">
        <v>304</v>
      </c>
      <c r="E36" s="35"/>
    </row>
    <row r="37" spans="1:5" x14ac:dyDescent="0.3">
      <c r="A37" s="60" t="s">
        <v>251</v>
      </c>
      <c r="B37" s="34"/>
      <c r="D37" s="32" t="s">
        <v>79</v>
      </c>
      <c r="E37" s="35"/>
    </row>
    <row r="38" spans="1:5" x14ac:dyDescent="0.3">
      <c r="A38" s="59" t="s">
        <v>252</v>
      </c>
      <c r="B38" s="34"/>
      <c r="D38" s="32" t="s">
        <v>80</v>
      </c>
      <c r="E38" s="35"/>
    </row>
    <row r="39" spans="1:5" ht="15" thickBot="1" x14ac:dyDescent="0.35">
      <c r="A39" s="175" t="s">
        <v>253</v>
      </c>
      <c r="B39" s="132"/>
      <c r="D39" s="32" t="s">
        <v>148</v>
      </c>
      <c r="E39" s="35"/>
    </row>
    <row r="40" spans="1:5" ht="15" thickBot="1" x14ac:dyDescent="0.35">
      <c r="A40" s="41" t="s">
        <v>1</v>
      </c>
      <c r="B40" s="43"/>
      <c r="D40" s="32" t="s">
        <v>305</v>
      </c>
      <c r="E40" s="35"/>
    </row>
    <row r="41" spans="1:5" x14ac:dyDescent="0.3">
      <c r="D41" s="37" t="s">
        <v>306</v>
      </c>
      <c r="E41" s="38"/>
    </row>
    <row r="42" spans="1:5" x14ac:dyDescent="0.3">
      <c r="D42" s="37" t="s">
        <v>307</v>
      </c>
      <c r="E42" s="38"/>
    </row>
    <row r="43" spans="1:5" x14ac:dyDescent="0.3">
      <c r="D43" s="37" t="s">
        <v>315</v>
      </c>
      <c r="E43" s="38"/>
    </row>
    <row r="44" spans="1:5" ht="15" thickBot="1" x14ac:dyDescent="0.35">
      <c r="D44" s="37" t="s">
        <v>44</v>
      </c>
      <c r="E44" s="51"/>
    </row>
    <row r="45" spans="1:5" ht="16.2" thickBot="1" x14ac:dyDescent="0.35">
      <c r="A45" s="200"/>
      <c r="D45" s="48" t="s">
        <v>45</v>
      </c>
      <c r="E45" s="49"/>
    </row>
    <row r="46" spans="1:5" ht="15" thickBot="1" x14ac:dyDescent="0.35">
      <c r="D46" s="44" t="s">
        <v>1</v>
      </c>
      <c r="E46" s="45"/>
    </row>
    <row r="48" spans="1:5" ht="15.6" x14ac:dyDescent="0.3">
      <c r="A48" s="200"/>
    </row>
    <row r="51" spans="1:5" ht="15.6" x14ac:dyDescent="0.3">
      <c r="A51" s="50"/>
      <c r="B51" s="40"/>
    </row>
    <row r="52" spans="1:5" ht="15.6" x14ac:dyDescent="0.3">
      <c r="A52" s="50"/>
      <c r="B52" s="40"/>
    </row>
    <row r="55" spans="1:5" x14ac:dyDescent="0.3">
      <c r="D55" s="39"/>
      <c r="E55" s="40"/>
    </row>
    <row r="56" spans="1:5" x14ac:dyDescent="0.3">
      <c r="D56" s="89"/>
      <c r="E56" s="89"/>
    </row>
    <row r="57" spans="1:5" x14ac:dyDescent="0.3">
      <c r="A57" s="91"/>
      <c r="B57" s="91"/>
    </row>
    <row r="58" spans="1:5" x14ac:dyDescent="0.3">
      <c r="A58" s="92"/>
      <c r="B58" s="80"/>
    </row>
    <row r="59" spans="1:5" x14ac:dyDescent="0.3">
      <c r="A59" s="92"/>
      <c r="B59" s="80"/>
    </row>
    <row r="60" spans="1:5" x14ac:dyDescent="0.3">
      <c r="A60" s="92"/>
      <c r="B60" s="80"/>
    </row>
    <row r="61" spans="1:5" x14ac:dyDescent="0.3">
      <c r="A61" s="92"/>
      <c r="B61" s="80"/>
    </row>
    <row r="62" spans="1:5" x14ac:dyDescent="0.3">
      <c r="A62" s="92"/>
      <c r="B62" s="80"/>
    </row>
    <row r="63" spans="1:5" x14ac:dyDescent="0.3">
      <c r="A63" s="92"/>
      <c r="B63" s="80"/>
    </row>
    <row r="64" spans="1:5" x14ac:dyDescent="0.3">
      <c r="A64" s="92"/>
      <c r="B64" s="80"/>
    </row>
    <row r="65" spans="1:5" x14ac:dyDescent="0.3">
      <c r="A65" s="92"/>
      <c r="B65" s="80"/>
    </row>
    <row r="66" spans="1:5" x14ac:dyDescent="0.3">
      <c r="A66" s="92"/>
      <c r="B66" s="80"/>
      <c r="D66" s="90"/>
      <c r="E66" s="77"/>
    </row>
    <row r="67" spans="1:5" x14ac:dyDescent="0.3">
      <c r="A67" s="92"/>
      <c r="B67" s="80"/>
      <c r="D67" s="36"/>
      <c r="E67" s="72"/>
    </row>
    <row r="68" spans="1:5" x14ac:dyDescent="0.3">
      <c r="A68" s="92"/>
      <c r="B68" s="80"/>
      <c r="D68" s="79"/>
      <c r="E68" s="81"/>
    </row>
    <row r="69" spans="1:5" x14ac:dyDescent="0.3">
      <c r="A69" s="92"/>
      <c r="B69" s="80"/>
      <c r="D69" s="79"/>
      <c r="E69" s="81"/>
    </row>
    <row r="70" spans="1:5" x14ac:dyDescent="0.3">
      <c r="A70" s="92"/>
      <c r="B70" s="80"/>
      <c r="D70" s="79"/>
      <c r="E70" s="81"/>
    </row>
    <row r="71" spans="1:5" x14ac:dyDescent="0.3">
      <c r="A71" s="78"/>
      <c r="B71" s="80"/>
      <c r="D71" s="79"/>
      <c r="E71" s="81"/>
    </row>
    <row r="72" spans="1:5" x14ac:dyDescent="0.3">
      <c r="A72" s="78"/>
      <c r="B72" s="93"/>
      <c r="D72" s="79"/>
      <c r="E72" s="81"/>
    </row>
    <row r="73" spans="1:5" x14ac:dyDescent="0.3">
      <c r="D73" s="79"/>
      <c r="E73" s="81"/>
    </row>
    <row r="74" spans="1:5" x14ac:dyDescent="0.3">
      <c r="D74" s="79"/>
      <c r="E74" s="81"/>
    </row>
    <row r="75" spans="1:5" x14ac:dyDescent="0.3">
      <c r="D75" s="79"/>
      <c r="E75" s="81"/>
    </row>
    <row r="76" spans="1:5" x14ac:dyDescent="0.3">
      <c r="D76" s="79"/>
      <c r="E76" s="81"/>
    </row>
    <row r="80" spans="1:5" ht="15.6" x14ac:dyDescent="0.3">
      <c r="A80" s="50"/>
    </row>
  </sheetData>
  <pageMargins left="0.23622047244094488" right="0.23622047244094488" top="0.3543307086614173" bottom="0.354330708661417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H14" sqref="H14"/>
    </sheetView>
  </sheetViews>
  <sheetFormatPr baseColWidth="10" defaultRowHeight="14.4" x14ac:dyDescent="0.3"/>
  <cols>
    <col min="1" max="1" width="22.6640625" customWidth="1"/>
    <col min="2" max="2" width="15.44140625" customWidth="1"/>
    <col min="3" max="3" width="15.33203125" customWidth="1"/>
    <col min="4" max="4" width="15.6640625" customWidth="1"/>
    <col min="5" max="5" width="47.88671875" customWidth="1"/>
  </cols>
  <sheetData>
    <row r="1" spans="1:5" ht="15.6" x14ac:dyDescent="0.3">
      <c r="A1" s="54" t="s">
        <v>313</v>
      </c>
    </row>
    <row r="2" spans="1:5" ht="15" thickBot="1" x14ac:dyDescent="0.35"/>
    <row r="3" spans="1:5" ht="28.2" thickBot="1" x14ac:dyDescent="0.35">
      <c r="A3" s="56" t="s">
        <v>46</v>
      </c>
      <c r="B3" s="57" t="s">
        <v>48</v>
      </c>
      <c r="C3" s="57" t="s">
        <v>47</v>
      </c>
      <c r="D3" s="62" t="s">
        <v>56</v>
      </c>
      <c r="E3" s="58" t="s">
        <v>26</v>
      </c>
    </row>
    <row r="4" spans="1:5" s="206" customFormat="1" x14ac:dyDescent="0.3">
      <c r="A4" s="201" t="s">
        <v>30</v>
      </c>
      <c r="B4" s="202"/>
      <c r="C4" s="203"/>
      <c r="D4" s="204"/>
      <c r="E4" s="205"/>
    </row>
    <row r="5" spans="1:5" s="206" customFormat="1" x14ac:dyDescent="0.3">
      <c r="A5" s="207" t="s">
        <v>33</v>
      </c>
      <c r="B5" s="208"/>
      <c r="C5" s="209"/>
      <c r="D5" s="208"/>
      <c r="E5" s="210"/>
    </row>
    <row r="6" spans="1:5" s="206" customFormat="1" x14ac:dyDescent="0.3">
      <c r="A6" s="207" t="s">
        <v>35</v>
      </c>
      <c r="B6" s="208"/>
      <c r="C6" s="209"/>
      <c r="D6" s="208"/>
      <c r="E6" s="210"/>
    </row>
    <row r="7" spans="1:5" s="206" customFormat="1" x14ac:dyDescent="0.3">
      <c r="A7" s="207" t="s">
        <v>34</v>
      </c>
      <c r="B7" s="208"/>
      <c r="C7" s="209"/>
      <c r="D7" s="208"/>
      <c r="E7" s="211"/>
    </row>
    <row r="8" spans="1:5" s="206" customFormat="1" ht="14.25" customHeight="1" x14ac:dyDescent="0.3">
      <c r="A8" s="207" t="s">
        <v>40</v>
      </c>
      <c r="B8" s="208"/>
      <c r="C8" s="209"/>
      <c r="D8" s="208"/>
      <c r="E8" s="211"/>
    </row>
    <row r="9" spans="1:5" s="206" customFormat="1" x14ac:dyDescent="0.3">
      <c r="A9" s="207" t="s">
        <v>37</v>
      </c>
      <c r="B9" s="208"/>
      <c r="C9" s="209"/>
      <c r="D9" s="208"/>
      <c r="E9" s="211"/>
    </row>
    <row r="10" spans="1:5" s="206" customFormat="1" x14ac:dyDescent="0.3">
      <c r="A10" s="207" t="s">
        <v>41</v>
      </c>
      <c r="B10" s="208"/>
      <c r="C10" s="209"/>
      <c r="D10" s="208"/>
      <c r="E10" s="210"/>
    </row>
    <row r="11" spans="1:5" s="206" customFormat="1" x14ac:dyDescent="0.3">
      <c r="A11" s="207" t="s">
        <v>36</v>
      </c>
      <c r="B11" s="208"/>
      <c r="C11" s="209"/>
      <c r="D11" s="208"/>
      <c r="E11" s="211"/>
    </row>
    <row r="12" spans="1:5" s="206" customFormat="1" x14ac:dyDescent="0.3">
      <c r="A12" s="207" t="s">
        <v>39</v>
      </c>
      <c r="B12" s="208"/>
      <c r="C12" s="209"/>
      <c r="D12" s="208"/>
      <c r="E12" s="211"/>
    </row>
    <row r="13" spans="1:5" s="206" customFormat="1" x14ac:dyDescent="0.3">
      <c r="A13" s="207" t="s">
        <v>49</v>
      </c>
      <c r="B13" s="208"/>
      <c r="C13" s="209"/>
      <c r="D13" s="208"/>
      <c r="E13" s="211"/>
    </row>
    <row r="14" spans="1:5" s="206" customFormat="1" x14ac:dyDescent="0.3">
      <c r="A14" s="207" t="s">
        <v>50</v>
      </c>
      <c r="B14" s="208"/>
      <c r="C14" s="209"/>
      <c r="D14" s="208"/>
      <c r="E14" s="210"/>
    </row>
    <row r="15" spans="1:5" s="206" customFormat="1" x14ac:dyDescent="0.3">
      <c r="A15" s="207" t="s">
        <v>81</v>
      </c>
      <c r="B15" s="208"/>
      <c r="C15" s="209"/>
      <c r="D15" s="208"/>
      <c r="E15" s="211"/>
    </row>
    <row r="16" spans="1:5" s="206" customFormat="1" x14ac:dyDescent="0.3">
      <c r="A16" s="207" t="s">
        <v>51</v>
      </c>
      <c r="B16" s="208"/>
      <c r="C16" s="209"/>
      <c r="D16" s="208"/>
      <c r="E16" s="210"/>
    </row>
    <row r="17" spans="1:5" s="206" customFormat="1" x14ac:dyDescent="0.3">
      <c r="A17" s="207" t="s">
        <v>52</v>
      </c>
      <c r="B17" s="208"/>
      <c r="C17" s="209"/>
      <c r="D17" s="208"/>
      <c r="E17" s="210"/>
    </row>
    <row r="18" spans="1:5" s="206" customFormat="1" x14ac:dyDescent="0.3">
      <c r="A18" s="207" t="s">
        <v>53</v>
      </c>
      <c r="B18" s="208"/>
      <c r="C18" s="209"/>
      <c r="D18" s="208"/>
      <c r="E18" s="210"/>
    </row>
    <row r="19" spans="1:5" s="206" customFormat="1" x14ac:dyDescent="0.3">
      <c r="A19" s="207" t="s">
        <v>54</v>
      </c>
      <c r="B19" s="208"/>
      <c r="C19" s="209"/>
      <c r="D19" s="208"/>
      <c r="E19" s="210"/>
    </row>
    <row r="20" spans="1:5" s="206" customFormat="1" x14ac:dyDescent="0.3">
      <c r="A20" s="207" t="s">
        <v>144</v>
      </c>
      <c r="B20" s="208"/>
      <c r="C20" s="209"/>
      <c r="D20" s="208"/>
      <c r="E20" s="210"/>
    </row>
    <row r="21" spans="1:5" s="206" customFormat="1" x14ac:dyDescent="0.3">
      <c r="A21" s="207" t="s">
        <v>82</v>
      </c>
      <c r="B21" s="208"/>
      <c r="C21" s="209"/>
      <c r="D21" s="208"/>
      <c r="E21" s="210"/>
    </row>
    <row r="22" spans="1:5" s="206" customFormat="1" ht="15" thickBot="1" x14ac:dyDescent="0.35">
      <c r="A22" s="207" t="s">
        <v>55</v>
      </c>
      <c r="B22" s="208"/>
      <c r="C22" s="209"/>
      <c r="D22" s="208"/>
      <c r="E22" s="210"/>
    </row>
    <row r="23" spans="1:5" ht="17.25" customHeight="1" thickBot="1" x14ac:dyDescent="0.35">
      <c r="B23" s="182"/>
      <c r="C23" s="183"/>
      <c r="D23" s="184"/>
      <c r="E23" s="61"/>
    </row>
    <row r="24" spans="1:5" x14ac:dyDescent="0.3">
      <c r="B24" s="55"/>
      <c r="C24" s="55"/>
      <c r="D24" s="55"/>
    </row>
    <row r="25" spans="1:5" x14ac:dyDescent="0.3">
      <c r="B25" s="55"/>
      <c r="C25" s="55"/>
      <c r="D25" s="55"/>
    </row>
    <row r="26" spans="1:5" x14ac:dyDescent="0.3">
      <c r="B26" s="55"/>
      <c r="C26" s="55"/>
      <c r="D26" s="55"/>
    </row>
    <row r="27" spans="1:5" x14ac:dyDescent="0.3">
      <c r="B27" s="55"/>
      <c r="C27" s="55"/>
      <c r="D27" s="55"/>
    </row>
    <row r="28" spans="1:5" x14ac:dyDescent="0.3">
      <c r="B28" s="55"/>
      <c r="C28" s="55"/>
      <c r="D28" s="55"/>
    </row>
    <row r="29" spans="1:5" x14ac:dyDescent="0.3">
      <c r="B29" s="55"/>
      <c r="C29" s="55"/>
      <c r="D29" s="55"/>
    </row>
    <row r="30" spans="1:5" x14ac:dyDescent="0.3">
      <c r="B30" s="55"/>
      <c r="C30" s="55"/>
      <c r="D30" s="55"/>
    </row>
    <row r="31" spans="1:5" x14ac:dyDescent="0.3">
      <c r="B31" s="55"/>
      <c r="C31" s="55"/>
      <c r="D31" s="55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Salado</vt:lpstr>
      <vt:lpstr>Bebidas</vt:lpstr>
      <vt:lpstr>Control de Gastos I</vt:lpstr>
      <vt:lpstr>Control de Gastos II</vt:lpstr>
      <vt:lpstr>Control de Gastos III</vt:lpstr>
      <vt:lpstr>Relación de Gastos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</dc:creator>
  <cp:lastModifiedBy>Wanda</cp:lastModifiedBy>
  <cp:lastPrinted>2026-05-06T20:39:18Z</cp:lastPrinted>
  <dcterms:created xsi:type="dcterms:W3CDTF">2026-01-27T10:48:51Z</dcterms:created>
  <dcterms:modified xsi:type="dcterms:W3CDTF">2026-07-01T20:21:21Z</dcterms:modified>
</cp:coreProperties>
</file>